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 최은경 개인\2026 최은경 개인\2026 AI연구모임\8. 감사실_관련 연찬자료 찾는 앱개발\"/>
    </mc:Choice>
  </mc:AlternateContent>
  <bookViews>
    <workbookView xWindow="0" yWindow="0" windowWidth="28275" windowHeight="11745"/>
  </bookViews>
  <sheets>
    <sheet name="인쇄용_바로가기" sheetId="1" r:id="rId1"/>
    <sheet name="전체_상세목록" sheetId="2" r:id="rId2"/>
    <sheet name="연찬_우선기관" sheetId="3" r:id="rId3"/>
    <sheet name="분야별_검색키워드" sheetId="4" r:id="rId4"/>
  </sheets>
  <calcPr calcId="162913"/>
  <fileRecoveryPr repairLoad="1"/>
</workbook>
</file>

<file path=xl/calcChain.xml><?xml version="1.0" encoding="utf-8"?>
<calcChain xmlns="http://schemas.openxmlformats.org/spreadsheetml/2006/main">
  <c r="E28" i="3" l="1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<sst xmlns="http://schemas.openxmlformats.org/spreadsheetml/2006/main" count="1141" uniqueCount="475">
  <si>
    <t>감사사례 연찬용 전국 감사결과 바로가기</t>
  </si>
  <si>
    <t>※ 감사원·통합검색·전국 광역자치단체·서울 25개 자치구·경기도 31개 시군 | 2026. 10. 13. 확인 기준</t>
  </si>
  <si>
    <t>No.</t>
  </si>
  <si>
    <t>기관명</t>
  </si>
  <si>
    <t>감사결과 메뉴</t>
  </si>
  <si>
    <t>접근유형</t>
  </si>
  <si>
    <t>바로가기</t>
  </si>
  <si>
    <t>감사원</t>
  </si>
  <si>
    <t>감사결과 &gt; 분야별 감사보고서</t>
  </si>
  <si>
    <t>직접/목록</t>
  </si>
  <si>
    <t>공공감사정보시스템(PAP)</t>
  </si>
  <si>
    <t>자체감사 &gt; 감사결과 공개</t>
  </si>
  <si>
    <t>전국 통합검색</t>
  </si>
  <si>
    <t>행정안전부</t>
  </si>
  <si>
    <t>감사계획 및 결과</t>
  </si>
  <si>
    <t>전용게시판</t>
  </si>
  <si>
    <t>경기도</t>
  </si>
  <si>
    <t>경기도감사위원회 &gt; 도민에게 알립니다 &gt; 감사결과</t>
  </si>
  <si>
    <t>서울특별시</t>
  </si>
  <si>
    <t>감사결과 공개</t>
  </si>
  <si>
    <t>부산광역시</t>
  </si>
  <si>
    <t>감사결과</t>
  </si>
  <si>
    <t>대구광역시</t>
  </si>
  <si>
    <t>인천광역시</t>
  </si>
  <si>
    <t>전남광주통합특별시(광주권 감사자료)</t>
  </si>
  <si>
    <t>공식 보존게시판</t>
  </si>
  <si>
    <t>대전광역시</t>
  </si>
  <si>
    <t>울산광역시</t>
  </si>
  <si>
    <t>감사메뉴</t>
  </si>
  <si>
    <t>세종특별자치시</t>
  </si>
  <si>
    <t>감사위원회 &gt; 감사결과 공개</t>
  </si>
  <si>
    <t>공식홈페이지 검색</t>
  </si>
  <si>
    <t>강원특별자치도</t>
  </si>
  <si>
    <t>충청북도</t>
  </si>
  <si>
    <t>충청남도</t>
  </si>
  <si>
    <t>전북특별자치도</t>
  </si>
  <si>
    <t>경상북도</t>
  </si>
  <si>
    <t>경상남도</t>
  </si>
  <si>
    <t>감사위원회</t>
  </si>
  <si>
    <t>감사위원회 메인 경유</t>
  </si>
  <si>
    <t>제주특별자치도</t>
  </si>
  <si>
    <t>감사활동 &gt; 감사결과</t>
  </si>
  <si>
    <t>종로구</t>
  </si>
  <si>
    <t>통합검색 &gt; 감사결과·자체감사</t>
  </si>
  <si>
    <t>중구</t>
  </si>
  <si>
    <t>용산구</t>
  </si>
  <si>
    <t>성동구</t>
  </si>
  <si>
    <t>광진구</t>
  </si>
  <si>
    <t>자체감사결과</t>
  </si>
  <si>
    <t>전용·관련게시판</t>
  </si>
  <si>
    <t>동대문구</t>
  </si>
  <si>
    <t>감사실시결과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</si>
  <si>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</si>
  <si>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</si>
  <si>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</si>
  <si>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</si>
  <si>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</si>
  <si>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</si>
  <si>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</si>
  <si>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</si>
  <si>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</si>
  <si>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</si>
  <si>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</si>
  <si>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감사실시 결과</t>
  </si>
  <si>
    <t>금천구</t>
  </si>
  <si>
    <t>영등포구</t>
  </si>
  <si>
    <t>동작구</t>
  </si>
  <si>
    <t>관악구</t>
  </si>
  <si>
    <t>서초구</t>
  </si>
  <si>
    <t>사전정보공개 &gt; 감사결과</t>
  </si>
  <si>
    <t>강남구</t>
  </si>
  <si>
    <t>행정정보공개 &gt; 감사결과보고</t>
  </si>
  <si>
    <t>송파구</t>
  </si>
  <si>
    <t>강동구</t>
  </si>
  <si>
    <t>수원시</t>
  </si>
  <si>
    <t>정보공개/개방 &gt; 청렴수원 &gt; 감사·조사결과공개</t>
  </si>
  <si>
    <t>용인시</t>
  </si>
  <si>
    <t>열린감사</t>
  </si>
  <si>
    <t>고양시</t>
  </si>
  <si>
    <t>정보공개/감사 관련 메뉴</t>
  </si>
  <si>
    <t>공식홈페이지 경유</t>
  </si>
  <si>
    <t>화성특례시</t>
  </si>
  <si>
    <t>정보공개 &gt; 감사정보공개</t>
  </si>
  <si>
    <t>성남시</t>
  </si>
  <si>
    <t>정보공개 &gt; 청렴성남 &gt; 감사정보공개 &gt; 감사자료실</t>
  </si>
  <si>
    <t>부천시</t>
  </si>
  <si>
    <t>정보공개 &gt; 정보공개제도 &gt; 사전정보공표</t>
  </si>
  <si>
    <t>사전정보공표 경유</t>
  </si>
  <si>
    <t>남양주시</t>
  </si>
  <si>
    <t>정보공개 &gt; 사전행정정보 &gt; 감사결과</t>
  </si>
  <si>
    <t>안산시</t>
  </si>
  <si>
    <t>부서자료실 &gt; 감사관 자료</t>
  </si>
  <si>
    <t>부서자료실 필터</t>
  </si>
  <si>
    <t>평택시</t>
  </si>
  <si>
    <t>안양시</t>
  </si>
  <si>
    <t>정보공개 &gt; 공개합니다 &gt; 감사결과공개</t>
  </si>
  <si>
    <t>시흥시</t>
  </si>
  <si>
    <t>열린행정 &gt; 청렴한시흥 &gt; 감사결과 공개</t>
  </si>
  <si>
    <t>메뉴경로 확인</t>
  </si>
  <si>
    <t>파주시</t>
  </si>
  <si>
    <t>정보공개 &gt; 감사정보공개 &gt; 감사결과</t>
  </si>
  <si>
    <t>김포시</t>
  </si>
  <si>
    <t>의정부시</t>
  </si>
  <si>
    <t>의정부소개 &gt; 부서안내 &gt; 감사담당관</t>
  </si>
  <si>
    <t>부서페이지 경유</t>
  </si>
  <si>
    <t>광주시</t>
  </si>
  <si>
    <t>정보공개 &gt; 감사행정 &gt; 감사행정공개</t>
  </si>
  <si>
    <t>하남시</t>
  </si>
  <si>
    <t>법무감사관 &gt; 감사결과공표</t>
  </si>
  <si>
    <t>광명시</t>
  </si>
  <si>
    <t>뉴스/정보공개 &gt; 열린행정 &gt; 열린감사 &gt; 감사결과</t>
  </si>
  <si>
    <t>군포시</t>
  </si>
  <si>
    <t>정보공개 &gt; 사전정보공표 &gt; 자체감사계획 및 감사결과</t>
  </si>
  <si>
    <t>양주시</t>
  </si>
  <si>
    <t>열린시정 &gt; 정보공개 &gt; 감사계획 및 결과</t>
  </si>
  <si>
    <t>오산시</t>
  </si>
  <si>
    <t>이천시</t>
  </si>
  <si>
    <t>통합검색 &gt; '감사결과' 또는 '종합감사 결과'</t>
  </si>
  <si>
    <t>홈페이지 검색 경유</t>
  </si>
  <si>
    <t>안성시</t>
  </si>
  <si>
    <t>구리시</t>
  </si>
  <si>
    <t>열린행정 &gt; 청렴한 구리시 &gt; 공개감사 및 결과공지</t>
  </si>
  <si>
    <t>의왕시</t>
  </si>
  <si>
    <t>정보공개 &gt; 감사결과 공개</t>
  </si>
  <si>
    <t>포천시</t>
  </si>
  <si>
    <t>양평군</t>
  </si>
  <si>
    <t>여주시</t>
  </si>
  <si>
    <t>동두천시</t>
  </si>
  <si>
    <t>과천시</t>
  </si>
  <si>
    <t>정보공개 &gt; 행정정보 &gt; 감사결과 공개</t>
  </si>
  <si>
    <t>가평군</t>
  </si>
  <si>
    <t>행정정보 &gt; 기타정보공개 &gt; 감사행정공개</t>
  </si>
  <si>
    <t>연천군</t>
  </si>
  <si>
    <t>정보공개 &gt; 감사결과공개 자료</t>
  </si>
  <si>
    <t>감사원·전국 광역자치단체·서울 자치구·경기도 시군 감사결과 공개 페이지 상세목록</t>
  </si>
  <si>
    <t>※ 2026. 10. 13. 전국 확장 검증 | 직접 게시판과 공식홈페이지 검색 경로를 구분 | 기존 경기도 시군 링크는 2026. 9. 11. 확인자료 유지</t>
  </si>
  <si>
    <t>구분</t>
  </si>
  <si>
    <t>감사결과 메뉴·게시판</t>
  </si>
  <si>
    <t>링크 유형</t>
  </si>
  <si>
    <t>공식 URL</t>
  </si>
  <si>
    <t>연찬 활용도</t>
  </si>
  <si>
    <t>공개·검색 특징</t>
  </si>
  <si>
    <t>추천 검색어</t>
  </si>
  <si>
    <t>확인일</t>
  </si>
  <si>
    <t>비고</t>
  </si>
  <si>
    <t>중앙·통합</t>
  </si>
  <si>
    <t>https://www.bai.go.kr/bai/result/branch/list/</t>
  </si>
  <si>
    <t>최우선</t>
  </si>
  <si>
    <t>중앙행정기관·지방자치단체·공공기관 감사결과를 폭넓게 제공</t>
  </si>
  <si>
    <t>계약, 보조금, 인사, 복무, 공사, 공유재산, 예산, 공공기관</t>
  </si>
  <si>
    <t>2026-10-13</t>
  </si>
  <si>
    <t>감사사례 연찬의 1차 기준 자료</t>
  </si>
  <si>
    <t>https://pap.go.kr/selfAudit/resultPublic/</t>
  </si>
  <si>
    <t>전국 공공기관 자체감사 결과를 기관·기간·키워드로 통합 검색</t>
  </si>
  <si>
    <t>계약, 채용, 복무, 보조금, 공사, 재무감사, 특정감사</t>
  </si>
  <si>
    <t>기관별 게시판 탐색 전 통합검색용</t>
  </si>
  <si>
    <t>https://www.mois.go.kr/frt/bbs/type001/commonSelectBoardList.do?bbsId=BBSMSTR_000000000002</t>
  </si>
  <si>
    <t>우선</t>
  </si>
  <si>
    <t>지방행정·정부합동감사·산하기관 감사결과 확인</t>
  </si>
  <si>
    <t>정부합동감사, 지방행정, 계약, 재정, 안전, 지방공기업</t>
  </si>
  <si>
    <t>지방자치단체 공통 지적사항 연찬에 활용</t>
  </si>
  <si>
    <t>광역/도</t>
  </si>
  <si>
    <t>https://www.gg.go.kr/audit/bbs/board.do?bsIdx=886&amp;menuId=4272</t>
  </si>
  <si>
    <t>도 본청·산하기관·시군 종합감사 및 특정감사 사례 확인</t>
  </si>
  <si>
    <t>시군 종합감사, 특정감사, 공공기관, 주민감사</t>
  </si>
  <si>
    <t>도 본청·시군·공공기관 사례 비교에 유용</t>
  </si>
  <si>
    <t>광역/특별시</t>
  </si>
  <si>
    <t>https://news.seoul.go.kr/gov/audit_result</t>
  </si>
  <si>
    <t>본청·사업소·자치구·출연기관 감사사례를 분야별로 폭넓게 제공</t>
  </si>
  <si>
    <t>민간위탁, 계약, 공사, 복지시설, 출연기관, 안전, 채용</t>
  </si>
  <si>
    <t>도시행정·자치구 업무 비교에 특히 유용</t>
  </si>
  <si>
    <t>광역/광역시</t>
  </si>
  <si>
    <t>https://www.busan.go.kr/gbinspec02</t>
  </si>
  <si>
    <t>구·군, 공사·공단, 출자출연기관 감사결과가 풍부</t>
  </si>
  <si>
    <t>공유재산, 공무국외출장, 재정지원, 공사, 공공기관</t>
  </si>
  <si>
    <t>광역도시형 사례 비교에 유용</t>
  </si>
  <si>
    <t>https://www.daegu.go.kr/index.do?menu_id=00000151</t>
  </si>
  <si>
    <t>구·군과 산하기관의 감사결과를 지속 공개</t>
  </si>
  <si>
    <t>민간위탁, 공사현장, 지방세, 출연기관, 복무</t>
  </si>
  <si>
    <t>https://www.incheon.go.kr/pub/PUB020201</t>
  </si>
  <si>
    <t>군·구 종합감사와 공직유관단체·의료원 등 기관감사 사례</t>
  </si>
  <si>
    <t>군구 종합감사, 채용, 의료원, 보조금, 계약</t>
  </si>
  <si>
    <t>광역(통합)</t>
  </si>
  <si>
    <t>https://www.gwangju.go.kr/public/boardList.do?boardId=BD_0000000081&amp;pageId=public145</t>
  </si>
  <si>
    <t>광주권 자치구·공사·복지시설 관련 기존 감사자료</t>
  </si>
  <si>
    <t>자치구, 공사, 복지시설, 보조금, 안전, 계약</t>
  </si>
  <si>
    <t>통합 전 광주광역시 공식 감사자료 보존 페이지</t>
  </si>
  <si>
    <t>https://www.daejeon.go.kr/drh/depart/board/boardNormalList.do?boardId=ins_0002&amp;categorySeq=&amp;menuSeq=1042</t>
  </si>
  <si>
    <t>자치구·사업소·공사·출연기관 감사결과</t>
  </si>
  <si>
    <t>자치구, 사업소, 공사, 출연기관, 계약, 복무</t>
  </si>
  <si>
    <t>https://www.ulsan.go.kr/u/gov/contents.ulsan?mId=001003004000000000</t>
  </si>
  <si>
    <t>구·군 종합감사와 공공기관·건설·보조금 사례</t>
  </si>
  <si>
    <t>구군 종합감사, 공공기관, 건설, 보조금, 복무</t>
  </si>
  <si>
    <t>페이지 내 감사결과 공개 메뉴 이용</t>
  </si>
  <si>
    <t>광역/특별자치시</t>
  </si>
  <si>
    <t>https://www.sejong.go.kr/</t>
  </si>
  <si>
    <t>보완</t>
  </si>
  <si>
    <t>재무감사·소방장비·민간위탁·공공기관 사례</t>
  </si>
  <si>
    <t>감사결과, 재무감사, 소방장비, 민간위탁, 공공기관</t>
  </si>
  <si>
    <t>홈페이지 통합검색에서 ‘감사결과’ 입력</t>
  </si>
  <si>
    <t>광역/특별자치도</t>
  </si>
  <si>
    <t>https://state.gwd.go.kr/audit/legal/auditresult</t>
  </si>
  <si>
    <t>시·군, 교육지원청, 공공기관 등 누적 감사자료가 매우 풍부</t>
  </si>
  <si>
    <t>시군, 교육지원청, 공공기관, 재무, 건설행정, 보조금</t>
  </si>
  <si>
    <t>전국 비교 연찬의 핵심 기관</t>
  </si>
  <si>
    <t>https://www.chungbuk.go.kr/www/selectBbsNttList.do?bbsNo=12&amp;key=232</t>
  </si>
  <si>
    <t>시·군, 출자출연기관, 보조금·수당·시설물 감사사례</t>
  </si>
  <si>
    <t>시군, 보조금, 출자출연, 수당, 공공시설물</t>
  </si>
  <si>
    <t>https://www.chungnam.go.kr/audit/bbs/B0000270/list.do?menuNo=1800010</t>
  </si>
  <si>
    <t>시·군, 건설본부, 출연기관 감사결과가 체계적으로 축적</t>
  </si>
  <si>
    <t>시군, 건설본부, 출연기관, 보조금, 계약</t>
  </si>
  <si>
    <t>https://www.jeonbuk.go.kr/audit/board/list.jeonbuk?boardId=BBS_0000157&amp;listCel=1&amp;listRow=10&amp;menuCd=DOM_000001402003000000&amp;paging=ok&amp;startPage=1</t>
  </si>
  <si>
    <t>시·군, 소방서, 문화시설, 인권·출연기관 사례</t>
  </si>
  <si>
    <t>시군, 소방서, 문화시설, 인권, 출연기관, 계약</t>
  </si>
  <si>
    <t>https://www.jeonnam.go.kr/T8636/boardList.do?displayHeader=&amp;infoReturn=&amp;menuId=jeonnam0105020000</t>
  </si>
  <si>
    <t>전남권 시·군, 출자출연기관, 농수산·보조금 감사자료</t>
  </si>
  <si>
    <t>시군, 출자출연, 농수산, 보조금, 감사사례집</t>
  </si>
  <si>
    <t>통합 전 전라남도 공식 감사자료 보존 페이지</t>
  </si>
  <si>
    <t>https://gb.go.kr/Main/page.do?URL=%2Fcommon%2Fboard%2Fboard.do&amp;BD_CODE=dept_news&amp;bdName=%EA%B0%90%EC%82%AC%EA%B2%B0%EA%B3%BC%EA%B3%B5%EA%B0%9C&amp;dept_code=6470002&amp;bbscode1=freebbs11&amp;cmd=1&amp;mnu_uid=8380</t>
  </si>
  <si>
    <t>시·군, 소방관서, 출자출연·공공기관 감사사례</t>
  </si>
  <si>
    <t>시군, 소방관서, 출자출연, 공공기관, 보조금</t>
  </si>
  <si>
    <t>https://www.gyeongnam.go.kr/gamsa/index.gyeong</t>
  </si>
  <si>
    <t>시·군, 사업소, 수산·공공기관 감사자료</t>
  </si>
  <si>
    <t>감사결과, 시군, 사업소, 수산, 공공기관</t>
  </si>
  <si>
    <t>감사위원회 메뉴에서 감사결과 공개 선택</t>
  </si>
  <si>
    <t>https://audit.jeju.go.kr/news/activity/result.htm</t>
  </si>
  <si>
    <t>행정시·공기업·의료원·문화시설·보조금 감사사례</t>
  </si>
  <si>
    <t>행정시, 보조금, 의료원, 공기업, 문화시설, 계약</t>
  </si>
  <si>
    <t>서울 자치구</t>
  </si>
  <si>
    <t>https://www.jongno.go.kr/portalMain.do</t>
  </si>
  <si>
    <t>자치구 감사자료 탐색용 공식 홈페이지</t>
  </si>
  <si>
    <t>감사결과, 자체감사, 종합감사, 특정감사, 계약, 보조금</t>
  </si>
  <si>
    <t>사이트 개편에 대비해 통합검색에서 ‘감사결과’ 입력</t>
  </si>
  <si>
    <t>https://www.junggu.seoul.kr/</t>
  </si>
  <si>
    <t>https://www.yongsan.go.kr/</t>
  </si>
  <si>
    <t>https://www.sd.go.kr/main/index.do</t>
  </si>
  <si>
    <t>https://www.gwangjin.go.kr/portal/pgm/online/list.do?ctgryCd=0104&amp;ctgryDetailCd=010401&amp;menuNo=200066</t>
  </si>
  <si>
    <t>자치구 본청·동주민센터·시설공단·재단 감사사례 확인</t>
  </si>
  <si>
    <t>계약, 보조금, 동주민센터, 시설공단, 복지, 복무, 채용</t>
  </si>
  <si>
    <t>자치구 실무 연찬 우선</t>
  </si>
  <si>
    <t>https://www.ddm.go.kr/www/selectBbsNttList.do?bbsNo=158&amp;integrDeptCode=&amp;key=563</t>
  </si>
  <si>
    <t>https://www.jungnang.go.kr/portal/main.do</t>
  </si>
  <si>
    <t>https://www.sb.go.kr/www/selectBbsNttList.do?bbsNo=27&amp;key=5922</t>
  </si>
  <si>
    <t>https://www.gangbuk.go.kr/www/index.do</t>
  </si>
  <si>
    <t>https://www.dobong.go.kr/</t>
  </si>
  <si>
    <t>https://www.nowon.kr/</t>
  </si>
  <si>
    <t>https://www.ep.go.kr/www/index.do</t>
  </si>
  <si>
    <t>https://www.sdm.go.kr/clean/inspect/result.do</t>
  </si>
  <si>
    <t>https://www.mapo.go.kr/site/main/home</t>
  </si>
  <si>
    <t>https://www.yangcheon.go.kr/site/yangcheon/main.do</t>
  </si>
  <si>
    <t>https://www.gangseo.seoul.kr/index</t>
  </si>
  <si>
    <t>https://www.guro.go.kr/upright/selectBbsNttList.do?bbsNo=593&amp;key=1532</t>
  </si>
  <si>
    <t>https://www.geumcheon.go.kr/portal/index.do</t>
  </si>
  <si>
    <t>https://www.ydp.go.kr/www/selectBbsNttList.do?bbsNo=33&amp;key=2821</t>
  </si>
  <si>
    <t>https://www.dongjak.go.kr/portal/bbs/B0000712/list.do?menuNo=200208</t>
  </si>
  <si>
    <t>https://www.gwanak.go.kr/site/gwanak/main.do</t>
  </si>
  <si>
    <t>https://www.seocho.go.kr/site/seocho/ex/publicList/PublicListF.do</t>
  </si>
  <si>
    <t>게시판에서 ‘감사’ 검색 병행</t>
  </si>
  <si>
    <t>https://www.gangnam.go.kr/publicinfo/main.do</t>
  </si>
  <si>
    <t>https://www.songpa.go.kr/www/index.do</t>
  </si>
  <si>
    <t>https://www.gangdong.go.kr/newportal/</t>
  </si>
  <si>
    <t>시</t>
  </si>
  <si>
    <t>https://www.suwon.go.kr/web/board/BD_board.list.do?bbsCd=1137&amp;showSummaryYn=N</t>
  </si>
  <si>
    <t>감사·조사결과를 별도 게시판으로 공개</t>
  </si>
  <si>
    <t>종합감사, 계약, 회계, 복무, 조사</t>
  </si>
  <si>
    <t>2026-09-11</t>
  </si>
  <si>
    <t>https://www.yongin.go.kr/user/bbs/BD_selectBbsList.do?q_bbsCode=1093</t>
  </si>
  <si>
    <t>구분·분류·수감기관별 검색이 가능하고 자료 축적량이 많음</t>
  </si>
  <si>
    <t>동 감사, 공공기관, 건설현장, 계약, 회계, 특정감사</t>
  </si>
  <si>
    <t>연찬자료 검색 편의성이 매우 높음</t>
  </si>
  <si>
    <t>https://www.goyang.go.kr/</t>
  </si>
  <si>
    <t>공식 홈페이지에서 감사관·감사결과 관련 메뉴 검색 필요</t>
  </si>
  <si>
    <t>감사결과, 자체감사, 종합감사</t>
  </si>
  <si>
    <t>직접 감사결과 목록 URL은 재확인 필요</t>
  </si>
  <si>
    <t>https://www.hscity.go.kr/www/user/bbs/BD_selectBbsList.do?q_bbsCode=1115</t>
  </si>
  <si>
    <t>읍면동·사업소·출연기관·특정감사 등 최근 감사결과 공개</t>
  </si>
  <si>
    <t>종합감사, 출연기관, 특정감사, 계약, 회계</t>
  </si>
  <si>
    <t>https://www.seongnam.go.kr/city/1001145/30084/bbsList.do</t>
  </si>
  <si>
    <t>감사사례 공개 목적에 예방감사·유사업무 담당자 활용 취지를 명시</t>
  </si>
  <si>
    <t>종합감사, 출연기관, 복지, 계약, 회계</t>
  </si>
  <si>
    <t>직원 예방감사 연찬 취지와 잘 맞음</t>
  </si>
  <si>
    <t>https://www.bucheon.go.kr/site/program/board/basicboard/list?boardtypeid=26716&amp;menuid=148004003004&amp;pagesize=10</t>
  </si>
  <si>
    <t>감사담당관이 특정감사 계획·결과를 사전정보공표에 지속 게시</t>
  </si>
  <si>
    <t>특정감사, 공유재산, 보조사업, 산하기관, 민간위탁</t>
  </si>
  <si>
    <t>목록에서 '감사담당관' 또는 '감사 결과' 검색 권장</t>
  </si>
  <si>
    <t>https://www.nyj.go.kr/www/selectTnBeffatInfoPublictListU.do?key=2407&amp;sc3=10</t>
  </si>
  <si>
    <t>감사실시계획·감사결과 바로가기를 사전정보공표에서 제공</t>
  </si>
  <si>
    <t>종합감사, 지적사항, 처분요구, 특정감사</t>
  </si>
  <si>
    <t>https://www.ansan.go.kr/www/common/bbs/selectPageListBbs.do?bbs_code=WWW07&amp;key=NEO&amp;sch_text=%EA%B0%90%EC%82%AC%EA%B4%80&amp;sch_type=register_nm</t>
  </si>
  <si>
    <t>감사관 등록자료를 부서자료실에서 일괄 조회 가능</t>
  </si>
  <si>
    <t>감사결과, 감사계획, 특정감사, 청렴</t>
  </si>
  <si>
    <t>https://www.pyeongtaek.go.kr/</t>
  </si>
  <si>
    <t>공식 홈페이지에서 감사 관련 메뉴·자료 검색 필요</t>
  </si>
  <si>
    <t>감사결과, 종합감사, 자체감사</t>
  </si>
  <si>
    <t>https://www.anyang.go.kr/main/selectBbsNttList.do?bbsNo=44&amp;key=219</t>
  </si>
  <si>
    <t>복지관·재단·체육회·동 등 감사결과 공개</t>
  </si>
  <si>
    <t>출연기관, 복지시설, 동 감사, 계약, 회계</t>
  </si>
  <si>
    <t>https://www.siheung.go.kr/</t>
  </si>
  <si>
    <t>공식 홈페이지에 '감사결과 공개' 메뉴가 확인되나 검색 결과가 대표주소로 연결됨</t>
  </si>
  <si>
    <t>감사결과, 청렴, 종합감사, 특정감사</t>
  </si>
  <si>
    <t>대표홈페이지에서 메뉴명으로 접근</t>
  </si>
  <si>
    <t>https://www.paju.go.kr/user/board/BD_board.list.do?bbsCd=9027</t>
  </si>
  <si>
    <t>민간위탁·보조금·도시건설·기관운영 등 분야별 분류가 잘 되어 있음</t>
  </si>
  <si>
    <t>민간위탁, 보조금, 도시·건설, 기관운영, 계약</t>
  </si>
  <si>
    <t>연찬용 분류 체계가 특히 유용</t>
  </si>
  <si>
    <t>https://www.gimpo.go.kr/portal/selectBbsNttList.do?bbsNo=202&amp;deleteAt=N&amp;key=1100</t>
  </si>
  <si>
    <t>감사정보공개 전용 목록 운영</t>
  </si>
  <si>
    <t>종합감사, 특정감사, 계약, 보조금, 복무</t>
  </si>
  <si>
    <t>https://www.ui4u.go.kr/portal/staff/list.do?deptCode=38200970000&amp;mId=0505010200</t>
  </si>
  <si>
    <t>감사담당관 업무와 자체감사 담당 확인 가능; 결과자료는 홈페이지 내 추가 검색 필요</t>
  </si>
  <si>
    <t>감사결과, 자체감사, 감사담당관</t>
  </si>
  <si>
    <t>https://www.gjcity.go.kr/portal/bbs/list.do?ptIdx=30&amp;mId=0314010000</t>
  </si>
  <si>
    <t>감사행정공개 전용 게시판에 종합감사·특정감사 결과 축적</t>
  </si>
  <si>
    <t>종합감사, 특정감사, 읍면동, 계약, 회계</t>
  </si>
  <si>
    <t>https://www.hanam.go.kr/www/selectBbsNttList.do?bbsNo=70&amp;key=3509</t>
  </si>
  <si>
    <t>동·출자출연기관·민간위탁 등 감사사례가 폭넓게 축적</t>
  </si>
  <si>
    <t>민간위탁, 도시공사, 문화재단, 동 감사, 회계</t>
  </si>
  <si>
    <t>사례 축적량이 많아 검색 가치가 높음</t>
  </si>
  <si>
    <t>https://www.gm.go.kr/pt/user/bbs/BD_selectBbsList.do?q_bbsCode=2055&amp;q_clCode=2</t>
  </si>
  <si>
    <t>열린감사 내 감사결과 전용 게시판 운영</t>
  </si>
  <si>
    <t>종합감사, 특정감사, 공공기관, 복무, 계약</t>
  </si>
  <si>
    <t>https://www.gunpo.go.kr/www/contents.do?key=4191</t>
  </si>
  <si>
    <t>군포시 자체 감사결과를 먼저 확인하고 타 기관 사례와 비교하는 기준점</t>
  </si>
  <si>
    <t>자체감사, 종합감사, 특정감사, 처분요구</t>
  </si>
  <si>
    <t>내부 연찬 시 동일·유사업무 우선 비교</t>
  </si>
  <si>
    <t>https://lll.yangju.go.kr/www/selectBbsNttList.do?bbsNo=28&amp;key=226</t>
  </si>
  <si>
    <t>감사계획 및 결과 게시판 운영</t>
  </si>
  <si>
    <t>감사계획, 감사결과, 종합감사, 특정감사</t>
  </si>
  <si>
    <t>https://www.osan.go.kr/</t>
  </si>
  <si>
    <t>공식 홈페이지에서 감사담당관·감사결과 관련 자료 검색 필요</t>
  </si>
  <si>
    <t>감사결과, 자체감사, 특정감사</t>
  </si>
  <si>
    <t>https://www.icheon.go.kr/</t>
  </si>
  <si>
    <t>2026년 읍면 종합감사 결과 등 공개자료가 공식 홈페이지 검색에서 확인됨</t>
  </si>
  <si>
    <t>종합감사 결과, 읍면 감사, 감사법무담당관</t>
  </si>
  <si>
    <t>홈페이지 통합검색 활용 권장</t>
  </si>
  <si>
    <t>https://www.anseong.go.kr/portal/auditPlanResult/list.do?mId=0402020000</t>
  </si>
  <si>
    <t>감사계획과 결과를 한 게시판에서 연속적으로 확인 가능</t>
  </si>
  <si>
    <t>감사계획, 종합감사, 특정감사, 출연기관</t>
  </si>
  <si>
    <t>https://www.guri.go.kr/www/selectBbsNttList.do?bbsNo=17&amp;key=343</t>
  </si>
  <si>
    <t>공개감사 및 결과공지 전용 게시판 운영</t>
  </si>
  <si>
    <t>종합감사, 특정감사, 공공기관, 계약, 회계</t>
  </si>
  <si>
    <t>https://www.uiwang.go.kr/UWKOROPEN0701</t>
  </si>
  <si>
    <t>감사결과 공개 전용 화면 운영</t>
  </si>
  <si>
    <t>감사결과, 종합감사, 특정감사, 계약</t>
  </si>
  <si>
    <t>https://www.pocheon.go.kr/</t>
  </si>
  <si>
    <t>감사결과 공개 원칙은 확인되나 직접 목록은 공식 홈페이지에서 추가 검색 필요</t>
  </si>
  <si>
    <t>감사결과, 감사담당관, 종합감사</t>
  </si>
  <si>
    <t>감사 종료 후 결과 공개 원칙 확인</t>
  </si>
  <si>
    <t>군</t>
  </si>
  <si>
    <t>https://www.yp21.go.kr/www/selectBbsNttList.do?bbsNo=46&amp;key=1600</t>
  </si>
  <si>
    <t>감사결과 전용 게시판에 최근 자료 지속 게시</t>
  </si>
  <si>
    <t>종합감사, 특정감사, 읍면, 공공기관</t>
  </si>
  <si>
    <t>https://www.yeoju.go.kr/</t>
  </si>
  <si>
    <t>공식 홈페이지에서 감사결과 관련 자료 검색 필요</t>
  </si>
  <si>
    <t>감사결과, 종합감사, 특정감사</t>
  </si>
  <si>
    <t>https://www.ddc.go.kr/</t>
  </si>
  <si>
    <t>https://www.gccity.go.kr/portal/bbs/list.do?mId=0201080000&amp;ptIdx=214</t>
  </si>
  <si>
    <t>감사결과 공개 전용 게시판 운영</t>
  </si>
  <si>
    <t>종합감사, 특정감사, 산하기관, 계약</t>
  </si>
  <si>
    <t>https://www.gp.go.kr/portal/selectBbsNttList.do?bbsNo=77&amp;key=448</t>
  </si>
  <si>
    <t>감사행정공개 전용 게시판 운영</t>
  </si>
  <si>
    <t>종합감사, 특정감사, 읍면, 보조금</t>
  </si>
  <si>
    <t>https://www.yeoncheon.go.kr/www/selectBbsNttList.do?bbsNo=190&amp;key=3335</t>
  </si>
  <si>
    <t>감사결과공개 전용 게시판 운영</t>
  </si>
  <si>
    <t>종합감사, 특정감사, 읍면, 계약, 회계</t>
  </si>
  <si>
    <t>감사사례 연찬 우선기관</t>
  </si>
  <si>
    <t>※ 군포시 실무 관련성·자료 축적도·검색 편의성을 기준으로 선정 | 중앙·광역·서울 자치구를 함께 비교</t>
  </si>
  <si>
    <t>순위</t>
  </si>
  <si>
    <t>기관</t>
  </si>
  <si>
    <t>추천 이유</t>
  </si>
  <si>
    <t>우선 검색 분야</t>
  </si>
  <si>
    <t>중앙·지방·공공기관 전 분야의 기준이 되는 감사결과가 가장 폭넓음</t>
  </si>
  <si>
    <t>계약·보조금·인사·복무·공사·공유재산</t>
  </si>
  <si>
    <t>전국 자체감사 결과를 한곳에서 기관·키워드별로 통합 검색 가능</t>
  </si>
  <si>
    <t>기관명 + 계약·채용·복무·보조금·특정감사</t>
  </si>
  <si>
    <t>도·시군·공공기관 사례가 다양해 경기도 업무와 직접 비교하기 좋음</t>
  </si>
  <si>
    <t>시군 종합감사·출연기관·보조금·공사</t>
  </si>
  <si>
    <t>우리 시 실제 지적사례를 먼저 확인해 동일·유사 오류를 예방</t>
  </si>
  <si>
    <t>계약·회계·민간위탁·보조금·복무</t>
  </si>
  <si>
    <t>대도시·자치구·출연기관·민간위탁 등 복합 행정사례가 풍부</t>
  </si>
  <si>
    <t>민간위탁·출연기관·복지시설·공사·안전</t>
  </si>
  <si>
    <t>시군·교육지원청·공공기관 누적 자료가 많고 분야가 넓음</t>
  </si>
  <si>
    <t>시군·재무·건설행정·교육지원청·공공기관</t>
  </si>
  <si>
    <t>군구 종합감사와 공직유관단체·의료원 감사사례가 충실</t>
  </si>
  <si>
    <t>군구 종합감사·채용·의료원·보조금</t>
  </si>
  <si>
    <t>민간위탁·공사·지방세·출연기관 지적사례 비교에 유용</t>
  </si>
  <si>
    <t>민간위탁·공사현장·지방세·출연기관</t>
  </si>
  <si>
    <t>시군·건설본부·출연기관 감사결과가 체계적으로 축적</t>
  </si>
  <si>
    <t>시군·건설본부·출연기관·계약·보조금</t>
  </si>
  <si>
    <t>행정시·공기업·의료원·문화시설 등 기관유형이 다양</t>
  </si>
  <si>
    <t>행정시·의료원·공기업·문화시설·보조금</t>
  </si>
  <si>
    <t>구군·공사공단·출자출연기관 감사사례가 풍부</t>
  </si>
  <si>
    <t>공유재산·공무국외출장·재정지원·공사</t>
  </si>
  <si>
    <t>자치구·공사·복지시설·보조금 관련 광주권 기존 사례가 풍부</t>
  </si>
  <si>
    <t>자치구·복지시설·보조금·공사·안전</t>
  </si>
  <si>
    <t>대규모 도시개발·계약·공사·보조금 사례 연찬에 적합</t>
  </si>
  <si>
    <t>접근성이 좋고 계약·공사·보조금 사례 검색이 편리</t>
  </si>
  <si>
    <t>개발사업·민간위탁·시설관리 관련 비교 사례에 유용</t>
  </si>
  <si>
    <t>특례시 규모의 계약·공사·인허가·산하기관 사례가 다양</t>
  </si>
  <si>
    <t>출연기관·복지·공사·계약 사례가 다양</t>
  </si>
  <si>
    <t>도시개발·계약·보조금·공유재산 사례 비교에 유용</t>
  </si>
  <si>
    <t>감사결과 전용게시판이 명확하고 자치구 사례 확인이 쉬움</t>
  </si>
  <si>
    <t>동주민센터·복지·시설공단 등 생활행정 사례가 풍부</t>
  </si>
  <si>
    <t>감사실시결과 게시판이 명확해 실무자가 탐색하기 쉬움</t>
  </si>
  <si>
    <t>감사실시 결과를 지속 공개해 자치구 비교 연찬에 유용</t>
  </si>
  <si>
    <t>구청·동주민센터·산하기관 관련 사례 확인에 유용</t>
  </si>
  <si>
    <t>도시행정·복지·계약 분야 자치구 사례 비교에 유용</t>
  </si>
  <si>
    <t>분야별 감사사례 검색 키워드</t>
  </si>
  <si>
    <t>※ 감사원·공공감사정보시스템·전국 광역·기초자치단체 게시판에서 아래 키워드를 조합하여 검색</t>
  </si>
  <si>
    <t>분야</t>
  </si>
  <si>
    <t>활용 예시</t>
  </si>
  <si>
    <t>검색 팁</t>
  </si>
  <si>
    <t>계약·회계</t>
  </si>
  <si>
    <t>수의계약, 분할계약, 1인 견적, 계약심사, 설계변경, 준공검사, 선금, 계약보증, 지역개발채권</t>
  </si>
  <si>
    <t>회계과·사업부서 계약업무, 특정감사 준비</t>
  </si>
  <si>
    <t>핵심어 1개 → 기관/업무명 추가 → 연도 또는 '특정감사·종합감사' 추가</t>
  </si>
  <si>
    <t>공사·용역</t>
  </si>
  <si>
    <t>설계변경, 공사감독, 준공검사, 하자, 안전관리, 기술인 배치, 용역검수, 과업변경</t>
  </si>
  <si>
    <t>시설공사 및 용역 지도·감독</t>
  </si>
  <si>
    <t>지방보조금</t>
  </si>
  <si>
    <t>보조금, 정산, 목적 외 사용, 자부담, 보조사업자 선정, 성과평가, 반환</t>
  </si>
  <si>
    <t>지방보조사업 부서 및 보조사업자 관리</t>
  </si>
  <si>
    <t>민간위탁</t>
  </si>
  <si>
    <t>민간위탁, 위탁금, 정산, 지도·감독, 재계약, 성과평가, 수탁기관</t>
  </si>
  <si>
    <t>복지·문화·체육 등 위탁시설</t>
  </si>
  <si>
    <t>인사·채용</t>
  </si>
  <si>
    <t>공정채용, 기간제근로자, 서류전형, 면접위원, 외부위원, 응시자격, 경력인정, 채용서류</t>
  </si>
  <si>
    <t>공무직·기간제·출연기관 채용</t>
  </si>
  <si>
    <t>복무</t>
  </si>
  <si>
    <t>출장, 초과근무, 휴가, 공가, 겸직, 외부강의, 근무상황, 시간외근무</t>
  </si>
  <si>
    <t>전 부서 복무 점검</t>
  </si>
  <si>
    <t>공유재산</t>
  </si>
  <si>
    <t>공유재산, 사용허가, 대부, 변상금, 무단점유, 사용료, 매각, 관리위탁</t>
  </si>
  <si>
    <t>재산관리 및 사업부서</t>
  </si>
  <si>
    <t>세입·세출</t>
  </si>
  <si>
    <t>세외수입, 과오납, 세입조치, 지출, 업무추진비, 법인카드, 일상경비, 세입세출외현금</t>
  </si>
  <si>
    <t>회계·세무·각 부서 경리업무</t>
  </si>
  <si>
    <t>사회복지</t>
  </si>
  <si>
    <t>사회복지시설, 종사자 인건비, 보조금, 시설회계, 후원금, 급여, 수당</t>
  </si>
  <si>
    <t>복지시설·보조사업 지도감독</t>
  </si>
  <si>
    <t>인허가</t>
  </si>
  <si>
    <t>건축허가, 개발행위, 도로점용, 농지전용, 산지전용, 행정처분, 부담금, 이행강제금</t>
  </si>
  <si>
    <t>인허가 부서 사전점검</t>
  </si>
  <si>
    <t>개인정보·정보공개</t>
  </si>
  <si>
    <t>개인정보, 목적 외 이용, 보유기간, 정보공개, 비공개, 제3자 의견청취</t>
  </si>
  <si>
    <t>민원·정보공개·자료제출</t>
  </si>
  <si>
    <t>공직기강·청렴</t>
  </si>
  <si>
    <t>행동강령, 이해충돌, 금품수수, 갑질, 직장 내 괴롭힘, 공직기강, 외부강의</t>
  </si>
  <si>
    <t>감사실 조사·청렴업무</t>
  </si>
  <si>
    <t>적극행정·사전컨설팅</t>
  </si>
  <si>
    <t>사전컨설팅, 적극행정, 면책, 법령해석, 재량, 규제, 책임회피</t>
  </si>
  <si>
    <t>사전컨설팅 검토 및 면책 판단</t>
  </si>
  <si>
    <t>도시개발·정비</t>
  </si>
  <si>
    <t>도시계획, 정비사업, 재개발, 도시개발, 기부채납, 기반시설, 부담금, 용도지역</t>
  </si>
  <si>
    <t>대도시·특례시 개발사업과 인허가·기부채납 처리 점검</t>
  </si>
  <si>
    <t>사업명과 ‘협약·변경·정산·기부채납’을 조합</t>
  </si>
  <si>
    <t>공공기관·출연기관</t>
  </si>
  <si>
    <t>출자출연기관, 지방공기업, 기관운영, 경영평가, 임직원 채용, 수당, 성과급</t>
  </si>
  <si>
    <t>공사·공단·재단의 채용·복무·보수·계약 사례 확인</t>
  </si>
  <si>
    <t>기관유형과 ‘채용·수당·계약’을 함께 검색</t>
  </si>
  <si>
    <t>주민센터·자치구</t>
  </si>
  <si>
    <t>동주민센터, 주민자치회, 자치회관, 주민참여예산, 프로그램 강사, 수강료, 직능단체</t>
  </si>
  <si>
    <t>동 행정과 주민자치·자치회관 운영의 반복 지적 예방</t>
  </si>
  <si>
    <t>서울 자치구 게시판에서 ‘동주민센터’를 우선 검색</t>
  </si>
  <si>
    <t>재난·안전</t>
  </si>
  <si>
    <t>안전점검, 재난관리, 중대재해, 시설물, 비상근무, 행동매뉴얼, 안전관리자</t>
  </si>
  <si>
    <t>재난대응·시설물 점검·안전관리 의무 이행 확인</t>
  </si>
  <si>
    <t>시설명과 ‘점검·매뉴얼·안전관리자’를 조합</t>
  </si>
  <si>
    <t>지방세·세외수입</t>
  </si>
  <si>
    <t>지방세, 세외수입, 체납, 과오납, 감면, 부과, 징수, 압류, 결손처분</t>
  </si>
  <si>
    <t>부과 누락·감면 오류·체납처분 소홀 사례 확인</t>
  </si>
  <si>
    <t>세목명과 ‘감면·체납·결손’을 함께 검색</t>
  </si>
  <si>
    <t>전남광주통합특별시
(광주권 감사자료)</t>
    <phoneticPr fontId="11" type="noConversion"/>
  </si>
  <si>
    <t>전남광주통합특별시
(전남권 감사자료)</t>
    <phoneticPr fontId="11" type="noConversion"/>
  </si>
  <si>
    <t>기관명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</si>
</sst>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rlito"/>
    </font>
    <font>
      <sz val="11"/>
      <name val="Carlito"/>
    </font>
    <font>
      <u/>
      <sz val="11"/>
      <color theme="10"/>
      <name val="Carlito"/>
    </font>
    <font>
      <b/>
      <sz val="16"/>
      <color rgb="FFFFFFFF"/>
      <name val="맑은 고딕"/>
      <family val="3"/>
      <charset val="129"/>
    </font>
    <font>
      <b/>
      <sz val="11"/>
      <color rgb="FF1F1F1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.5"/>
      <color rgb="FF1F1F1F"/>
      <name val="맑은 고딕"/>
      <family val="3"/>
      <charset val="129"/>
    </font>
    <font>
      <b/>
      <sz val="10.5"/>
      <color rgb="FF0070C0"/>
      <name val="맑은 고딕"/>
      <family val="3"/>
      <charset val="129"/>
    </font>
    <font>
      <sz val="9.5"/>
      <color rgb="FF0070C0"/>
      <name val="맑은 고딕"/>
      <family val="3"/>
      <charset val="129"/>
    </font>
    <font>
      <u/>
      <sz val="9.5"/>
      <color rgb="FF0070C0"/>
      <name val="맑은 고딕"/>
      <family val="3"/>
      <charset val="129"/>
    </font>
    <font>
      <b/>
      <sz val="10.5"/>
      <color rgb="FF1F4E78"/>
      <name val="맑은 고딕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F5F9FC"/>
      </patternFill>
    </fill>
  </fills>
  <borders count="12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5" fillId="4" borderId="1" xfId="0" applyNumberFormat="1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center" vertical="center" wrapText="1"/>
    </xf>
    <xf numFmtId="0" fontId="6" fillId="5" borderId="5" xfId="0" applyNumberFormat="1" applyFont="1" applyFill="1" applyBorder="1" applyAlignment="1">
      <alignment horizontal="center" vertical="center" wrapText="1"/>
    </xf>
    <xf numFmtId="0" fontId="6" fillId="5" borderId="5" xfId="0" applyNumberFormat="1" applyFont="1" applyFill="1" applyBorder="1" applyAlignment="1">
      <alignment vertical="center" wrapText="1"/>
    </xf>
    <xf numFmtId="0" fontId="6" fillId="6" borderId="7" xfId="0" applyNumberFormat="1" applyFont="1" applyFill="1" applyBorder="1" applyAlignment="1">
      <alignment horizontal="center" vertical="center" wrapText="1"/>
    </xf>
    <xf numFmtId="0" fontId="6" fillId="6" borderId="0" xfId="0" applyNumberFormat="1" applyFont="1" applyFill="1" applyBorder="1" applyAlignment="1">
      <alignment horizontal="center" vertical="center" wrapText="1"/>
    </xf>
    <xf numFmtId="0" fontId="6" fillId="6" borderId="0" xfId="0" applyNumberFormat="1" applyFont="1" applyFill="1" applyBorder="1" applyAlignment="1">
      <alignment vertical="center" wrapText="1"/>
    </xf>
    <xf numFmtId="0" fontId="6" fillId="5" borderId="7" xfId="0" applyNumberFormat="1" applyFont="1" applyFill="1" applyBorder="1" applyAlignment="1">
      <alignment horizontal="center" vertical="center" wrapText="1"/>
    </xf>
    <xf numFmtId="0" fontId="6" fillId="5" borderId="0" xfId="0" applyNumberFormat="1" applyFont="1" applyFill="1" applyBorder="1" applyAlignment="1">
      <alignment horizontal="center" vertical="center" wrapText="1"/>
    </xf>
    <xf numFmtId="0" fontId="6" fillId="5" borderId="0" xfId="0" applyNumberFormat="1" applyFont="1" applyFill="1" applyBorder="1" applyAlignment="1">
      <alignment vertical="center" wrapText="1"/>
    </xf>
    <xf numFmtId="0" fontId="6" fillId="6" borderId="8" xfId="0" applyNumberFormat="1" applyFont="1" applyFill="1" applyBorder="1" applyAlignment="1">
      <alignment vertical="center" wrapText="1"/>
    </xf>
    <xf numFmtId="0" fontId="6" fillId="5" borderId="8" xfId="0" applyNumberFormat="1" applyFont="1" applyFill="1" applyBorder="1" applyAlignment="1">
      <alignment vertical="center" wrapText="1"/>
    </xf>
    <xf numFmtId="0" fontId="6" fillId="6" borderId="10" xfId="0" applyNumberFormat="1" applyFont="1" applyFill="1" applyBorder="1" applyAlignment="1">
      <alignment vertical="center" wrapText="1"/>
    </xf>
    <xf numFmtId="0" fontId="6" fillId="6" borderId="11" xfId="0" applyNumberFormat="1" applyFont="1" applyFill="1" applyBorder="1" applyAlignment="1">
      <alignment vertical="center" wrapText="1"/>
    </xf>
    <xf numFmtId="0" fontId="6" fillId="6" borderId="9" xfId="0" applyNumberFormat="1" applyFont="1" applyFill="1" applyBorder="1" applyAlignment="1">
      <alignment horizontal="center" vertical="center" wrapText="1"/>
    </xf>
    <xf numFmtId="0" fontId="6" fillId="6" borderId="10" xfId="0" applyNumberFormat="1" applyFont="1" applyFill="1" applyBorder="1" applyAlignment="1">
      <alignment horizontal="center" vertical="center" wrapText="1"/>
    </xf>
    <xf numFmtId="0" fontId="7" fillId="5" borderId="6" xfId="0" applyNumberFormat="1" applyFont="1" applyFill="1" applyBorder="1" applyAlignment="1">
      <alignment horizontal="center" vertical="center" wrapText="1"/>
    </xf>
    <xf numFmtId="0" fontId="7" fillId="6" borderId="8" xfId="0" applyNumberFormat="1" applyFont="1" applyFill="1" applyBorder="1" applyAlignment="1">
      <alignment horizontal="center" vertical="center" wrapText="1"/>
    </xf>
    <xf numFmtId="0" fontId="7" fillId="5" borderId="8" xfId="0" applyNumberFormat="1" applyFont="1" applyFill="1" applyBorder="1" applyAlignment="1">
      <alignment horizontal="center" vertical="center" wrapText="1"/>
    </xf>
    <xf numFmtId="0" fontId="7" fillId="6" borderId="11" xfId="0" applyNumberFormat="1" applyFont="1" applyFill="1" applyBorder="1" applyAlignment="1">
      <alignment horizontal="center" vertical="center" wrapText="1"/>
    </xf>
    <xf numFmtId="0" fontId="6" fillId="5" borderId="6" xfId="0" applyNumberFormat="1" applyFont="1" applyFill="1" applyBorder="1" applyAlignment="1">
      <alignment vertical="center" wrapText="1"/>
    </xf>
    <xf numFmtId="0" fontId="8" fillId="5" borderId="5" xfId="0" applyNumberFormat="1" applyFont="1" applyFill="1" applyBorder="1" applyAlignment="1">
      <alignment horizontal="center" vertical="center" wrapText="1"/>
    </xf>
    <xf numFmtId="0" fontId="9" fillId="6" borderId="0" xfId="0" applyNumberFormat="1" applyFont="1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>
      <alignment horizontal="center" vertical="center" wrapText="1"/>
    </xf>
    <xf numFmtId="0" fontId="8" fillId="6" borderId="0" xfId="0" applyNumberFormat="1" applyFont="1" applyFill="1" applyBorder="1" applyAlignment="1">
      <alignment horizontal="center" vertical="center" wrapText="1"/>
    </xf>
    <xf numFmtId="0" fontId="8" fillId="6" borderId="0" xfId="0" applyNumberFormat="1" applyFont="1" applyFill="1" applyBorder="1" applyAlignment="1">
      <alignment vertical="center" wrapText="1"/>
    </xf>
    <xf numFmtId="0" fontId="8" fillId="5" borderId="0" xfId="0" applyNumberFormat="1" applyFont="1" applyFill="1" applyBorder="1" applyAlignment="1">
      <alignment vertical="center" wrapText="1"/>
    </xf>
    <xf numFmtId="0" fontId="8" fillId="6" borderId="1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horizontal="center" vertical="center" wrapText="1"/>
    </xf>
    <xf numFmtId="0" fontId="10" fillId="5" borderId="4" xfId="0" applyNumberFormat="1" applyFont="1" applyFill="1" applyBorder="1" applyAlignment="1">
      <alignment horizontal="center" vertical="center" wrapText="1"/>
    </xf>
    <xf numFmtId="0" fontId="10" fillId="6" borderId="7" xfId="0" applyNumberFormat="1" applyFont="1" applyFill="1" applyBorder="1" applyAlignment="1">
      <alignment horizontal="center" vertical="center" wrapText="1"/>
    </xf>
    <xf numFmtId="0" fontId="10" fillId="5" borderId="7" xfId="0" applyNumberFormat="1" applyFont="1" applyFill="1" applyBorder="1" applyAlignment="1">
      <alignment horizontal="center" vertical="center" wrapText="1"/>
    </xf>
    <xf numFmtId="0" fontId="10" fillId="6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4" borderId="2" xfId="0" applyNumberFormat="1" applyFont="1" applyFill="1" applyBorder="1" applyAlignment="1">
      <alignment horizontal="left" vertical="center" wrapText="1"/>
    </xf>
    <xf numFmtId="0" fontId="6" fillId="5" borderId="5" xfId="0" applyNumberFormat="1" applyFont="1" applyFill="1" applyBorder="1" applyAlignment="1">
      <alignment horizontal="left" vertical="center" wrapText="1"/>
    </xf>
    <xf numFmtId="0" fontId="6" fillId="6" borderId="0" xfId="0" applyNumberFormat="1" applyFont="1" applyFill="1" applyBorder="1" applyAlignment="1">
      <alignment horizontal="left" vertical="center" wrapText="1"/>
    </xf>
    <xf numFmtId="0" fontId="6" fillId="5" borderId="0" xfId="0" applyNumberFormat="1" applyFont="1" applyFill="1" applyBorder="1" applyAlignment="1">
      <alignment horizontal="left" vertical="center" wrapText="1"/>
    </xf>
    <xf numFmtId="0" fontId="6" fillId="6" borderId="10" xfId="0" applyNumberFormat="1" applyFont="1" applyFill="1" applyBorder="1" applyAlignment="1">
      <alignment horizontal="left" vertical="center" wrapText="1"/>
    </xf>
  </cellXfs>
  <cellStyles count="3">
    <cellStyle name="Normal" xfId="1"/>
    <cellStyle name="표준" xfId="0" builtinId="0"/>
    <cellStyle name="하이퍼링크" xfId="2"/>
  </cellStyles>
  <dxfs count="15"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3" name="ShortcutLinks" displayName="ShortcutLinks" ref="A4:E80" totalsRowShown="0">
  <autoFilter ref="A4:E80"/>
  <tableColumns count="5">
    <tableColumn id="1" name="No."/>
    <tableColumn id="2" name="기관명" dataDxfId="10"/>
    <tableColumn id="3" name="감사결과 메뉴"/>
    <tableColumn id="4" name="접근유형"/>
    <tableColumn id="5" name="바로가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AuditSources" displayName="AuditSources" ref="A4:K80" totalsRowShown="0">
  <autoFilter ref="A4:K80"/>
  <tableColumns count="11">
    <tableColumn id="1" name="No." dataDxfId="9"/>
    <tableColumn id="2" name="구분" dataDxfId="8"/>
    <tableColumn id="3" name="기관명" dataDxfId="7"/>
    <tableColumn id="4" name="감사결과 메뉴·게시판"/>
    <tableColumn id="5" name="링크 유형"/>
    <tableColumn id="6" name="공식 URL"/>
    <tableColumn id="7" name="연찬 활용도"/>
    <tableColumn id="8" name="공개·검색 특징"/>
    <tableColumn id="9" name="추천 검색어"/>
    <tableColumn id="10" name="확인일"/>
    <tableColumn id="11" name="비고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PrioritySources" displayName="PrioritySources" ref="A4:E28" totalsRowShown="0" headerRowDxfId="4" dataDxfId="3">
  <autoFilter ref="A4:E28"/>
  <tableColumns count="5">
    <tableColumn id="1" name="순위" dataDxfId="6"/>
    <tableColumn id="2" name="기관" dataDxfId="2"/>
    <tableColumn id="3" name="추천 이유" dataDxfId="0"/>
    <tableColumn id="4" name="우선 검색 분야" dataDxfId="1"/>
    <tableColumn id="5" name="바로가기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KeywordGuide" displayName="KeywordGuide" ref="A4:D22" totalsRowShown="0">
  <autoFilter ref="A4:D22"/>
  <tableColumns count="4">
    <tableColumn id="1" name="분야" dataDxfId="11"/>
    <tableColumn id="2" name="추천 검색어"/>
    <tableColumn id="3" name="활용 예시"/>
    <tableColumn id="4" name="검색 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www.yongin.go.kr/user/bbs/BD_selectBbsList.do?q_bbsCode=1093" TargetMode="External"/><Relationship Id="rId1" Type="http://schemas.openxmlformats.org/officeDocument/2006/relationships/hyperlink" Target="https://www.gg.go.kr/audit/bbs/board.do?bsIdx=886&amp;menuId=427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E80"/>
  <sheetViews>
    <sheetView tabSelected="1" workbookViewId="0">
      <pane ySplit="4" topLeftCell="A5" activePane="bottomLeft" state="frozen"/>
      <selection pane="bottomLeft" activeCell="K9" sqref="K9"/>
    </sheetView>
  </sheetViews>
  <sheetFormatPr defaultRowHeight="14.25"/>
  <cols>
    <col min="1" max="1" width="7" customWidth="1"/>
    <col min="2" max="2" width="23.25" style="37" customWidth="1"/>
    <col min="3" max="3" width="42" customWidth="1"/>
    <col min="4" max="4" width="22" customWidth="1"/>
    <col min="5" max="5" width="12" customWidth="1"/>
  </cols>
  <sheetData>
    <row r="1" spans="1:5" ht="27.95" customHeight="1">
      <c r="A1" s="31" t="s">
        <v>0</v>
      </c>
      <c r="B1" s="31"/>
      <c r="C1" s="31"/>
      <c r="D1" s="31"/>
      <c r="E1" s="31"/>
    </row>
    <row r="2" spans="1:5" ht="32.1" customHeight="1">
      <c r="A2" s="32" t="s">
        <v>1</v>
      </c>
      <c r="B2" s="32"/>
      <c r="C2" s="32"/>
      <c r="D2" s="32"/>
      <c r="E2" s="32"/>
    </row>
    <row r="3" spans="1:5" ht="8.1" customHeight="1"/>
    <row r="4" spans="1:5" ht="27.95" customHeight="1">
      <c r="A4" s="1" t="s">
        <v>2</v>
      </c>
      <c r="B4" s="2" t="s">
        <v>474</v>
      </c>
      <c r="C4" s="2" t="s">
        <v>4</v>
      </c>
      <c r="D4" s="2" t="s">
        <v>5</v>
      </c>
      <c r="E4" s="3" t="s">
        <v>6</v>
      </c>
    </row>
    <row r="5" spans="1:5" ht="30.95" customHeight="1">
      <c r="A5" s="4">
        <v>1</v>
      </c>
      <c r="B5" s="5" t="s">
        <v>7</v>
      </c>
      <c r="C5" s="6" t="s">
        <v>8</v>
      </c>
      <c r="D5" s="5" t="s">
        <v>9</v>
      </c>
      <c r="E5" s="19" t="str">
        <f>HYPERLINK("https://www.bai.go.kr/bai/result/branch/list/","열기")</f>
        <v>열기</v>
      </c>
    </row>
    <row r="6" spans="1:5" ht="30.95" customHeight="1">
      <c r="A6" s="7">
        <v>2</v>
      </c>
      <c r="B6" s="8" t="s">
        <v>10</v>
      </c>
      <c r="C6" s="9" t="s">
        <v>11</v>
      </c>
      <c r="D6" s="8" t="s">
        <v>12</v>
      </c>
      <c r="E6" s="20" t="str">
        <f>HYPERLINK("https://pap.go.kr/selfAudit/resultPublic/","열기")</f>
        <v>열기</v>
      </c>
    </row>
    <row r="7" spans="1:5" ht="30.95" customHeight="1">
      <c r="A7" s="10">
        <v>3</v>
      </c>
      <c r="B7" s="11" t="s">
        <v>13</v>
      </c>
      <c r="C7" s="12" t="s">
        <v>14</v>
      </c>
      <c r="D7" s="11" t="s">
        <v>15</v>
      </c>
      <c r="E7" s="21" t="str">
        <f>HYPERLINK("https://www.mois.go.kr/frt/bbs/type001/commonSelectBoardList.do?bbsId=BBSMSTR_000000000002","열기")</f>
        <v>열기</v>
      </c>
    </row>
    <row r="8" spans="1:5" ht="30.95" customHeight="1">
      <c r="A8" s="7">
        <v>4</v>
      </c>
      <c r="B8" s="8" t="s">
        <v>16</v>
      </c>
      <c r="C8" s="9" t="s">
        <v>17</v>
      </c>
      <c r="D8" s="8" t="s">
        <v>9</v>
      </c>
      <c r="E8" s="20" t="str">
        <f>HYPERLINK("https://www.gg.go.kr/audit/bbs/board.do?bsIdx=886&amp;menuId=4272","열기")</f>
        <v>열기</v>
      </c>
    </row>
    <row r="9" spans="1:5" ht="30.95" customHeight="1">
      <c r="A9" s="10">
        <v>5</v>
      </c>
      <c r="B9" s="11" t="s">
        <v>18</v>
      </c>
      <c r="C9" s="12" t="s">
        <v>19</v>
      </c>
      <c r="D9" s="11" t="s">
        <v>15</v>
      </c>
      <c r="E9" s="21" t="str">
        <f>HYPERLINK("https://news.seoul.go.kr/gov/audit_result","열기")</f>
        <v>열기</v>
      </c>
    </row>
    <row r="10" spans="1:5" ht="30.95" customHeight="1">
      <c r="A10" s="7">
        <v>6</v>
      </c>
      <c r="B10" s="8" t="s">
        <v>20</v>
      </c>
      <c r="C10" s="9" t="s">
        <v>21</v>
      </c>
      <c r="D10" s="8" t="s">
        <v>15</v>
      </c>
      <c r="E10" s="20" t="str">
        <f>HYPERLINK("https://www.busan.go.kr/gbinspec02","열기")</f>
        <v>열기</v>
      </c>
    </row>
    <row r="11" spans="1:5" ht="30.95" customHeight="1">
      <c r="A11" s="10">
        <v>7</v>
      </c>
      <c r="B11" s="11" t="s">
        <v>22</v>
      </c>
      <c r="C11" s="12" t="s">
        <v>19</v>
      </c>
      <c r="D11" s="11" t="s">
        <v>15</v>
      </c>
      <c r="E11" s="21" t="str">
        <f>HYPERLINK("https://www.daegu.go.kr/index.do?menu_id=00000151","열기")</f>
        <v>열기</v>
      </c>
    </row>
    <row r="12" spans="1:5" ht="30.95" customHeight="1">
      <c r="A12" s="7">
        <v>8</v>
      </c>
      <c r="B12" s="8" t="s">
        <v>23</v>
      </c>
      <c r="C12" s="9" t="s">
        <v>19</v>
      </c>
      <c r="D12" s="8" t="s">
        <v>15</v>
      </c>
      <c r="E12" s="20" t="str">
        <f>HYPERLINK("https://www.incheon.go.kr/pub/PUB020201","열기")</f>
        <v>열기</v>
      </c>
    </row>
    <row r="13" spans="1:5" ht="30.95" customHeight="1">
      <c r="A13" s="10">
        <v>9</v>
      </c>
      <c r="B13" s="11" t="s">
        <v>472</v>
      </c>
      <c r="C13" s="12" t="s">
        <v>19</v>
      </c>
      <c r="D13" s="11" t="s">
        <v>25</v>
      </c>
      <c r="E13" s="21" t="str">
        <f>HYPERLINK("https://www.gwangju.go.kr/public/boardList.do?boardId=BD_0000000081&amp;pageId=public145","열기")</f>
        <v>열기</v>
      </c>
    </row>
    <row r="14" spans="1:5" ht="30.95" customHeight="1">
      <c r="A14" s="7">
        <v>10</v>
      </c>
      <c r="B14" s="8" t="s">
        <v>26</v>
      </c>
      <c r="C14" s="9" t="s">
        <v>19</v>
      </c>
      <c r="D14" s="8" t="s">
        <v>15</v>
      </c>
      <c r="E14" s="20" t="str">
        <f>HYPERLINK("https://www.daejeon.go.kr/drh/depart/board/boardNormalList.do?boardId=ins_0002&amp;categorySeq=&amp;menuSeq=1042","열기")</f>
        <v>열기</v>
      </c>
    </row>
    <row r="15" spans="1:5" ht="30.95" customHeight="1">
      <c r="A15" s="10">
        <v>11</v>
      </c>
      <c r="B15" s="11" t="s">
        <v>27</v>
      </c>
      <c r="C15" s="12" t="s">
        <v>19</v>
      </c>
      <c r="D15" s="11" t="s">
        <v>28</v>
      </c>
      <c r="E15" s="21" t="str">
        <f>HYPERLINK("https://www.ulsan.go.kr/u/gov/contents.ulsan?mId=001003004000000000","열기")</f>
        <v>열기</v>
      </c>
    </row>
    <row r="16" spans="1:5" ht="30.95" customHeight="1">
      <c r="A16" s="7">
        <v>12</v>
      </c>
      <c r="B16" s="8" t="s">
        <v>29</v>
      </c>
      <c r="C16" s="9" t="s">
        <v>30</v>
      </c>
      <c r="D16" s="8" t="s">
        <v>31</v>
      </c>
      <c r="E16" s="20" t="str">
        <f>HYPERLINK("https://www.sejong.go.kr/","열기")</f>
        <v>열기</v>
      </c>
    </row>
    <row r="17" spans="1:5" ht="30.95" customHeight="1">
      <c r="A17" s="10">
        <v>13</v>
      </c>
      <c r="B17" s="11" t="s">
        <v>32</v>
      </c>
      <c r="C17" s="12" t="s">
        <v>21</v>
      </c>
      <c r="D17" s="11" t="s">
        <v>15</v>
      </c>
      <c r="E17" s="21" t="str">
        <f>HYPERLINK("https://state.gwd.go.kr/audit/legal/auditresult","열기")</f>
        <v>열기</v>
      </c>
    </row>
    <row r="18" spans="1:5" ht="30.95" customHeight="1">
      <c r="A18" s="7">
        <v>14</v>
      </c>
      <c r="B18" s="8" t="s">
        <v>33</v>
      </c>
      <c r="C18" s="9" t="s">
        <v>21</v>
      </c>
      <c r="D18" s="8" t="s">
        <v>15</v>
      </c>
      <c r="E18" s="20" t="str">
        <f>HYPERLINK("https://www.chungbuk.go.kr/www/selectBbsNttList.do?bbsNo=12&amp;key=232","열기")</f>
        <v>열기</v>
      </c>
    </row>
    <row r="19" spans="1:5" ht="30.95" customHeight="1">
      <c r="A19" s="10">
        <v>15</v>
      </c>
      <c r="B19" s="11" t="s">
        <v>34</v>
      </c>
      <c r="C19" s="12" t="s">
        <v>19</v>
      </c>
      <c r="D19" s="11" t="s">
        <v>15</v>
      </c>
      <c r="E19" s="21" t="str">
        <f>HYPERLINK("https://www.chungnam.go.kr/audit/bbs/B0000270/list.do?menuNo=1800010","열기")</f>
        <v>열기</v>
      </c>
    </row>
    <row r="20" spans="1:5" ht="30.95" customHeight="1">
      <c r="A20" s="7">
        <v>16</v>
      </c>
      <c r="B20" s="8" t="s">
        <v>35</v>
      </c>
      <c r="C20" s="9" t="s">
        <v>21</v>
      </c>
      <c r="D20" s="8" t="s">
        <v>15</v>
      </c>
      <c r="E20" s="20" t="str">
        <f>HYPERLINK("https://www.jeonbuk.go.kr/audit/board/list.jeonbuk?boardId=BBS_0000157&amp;listCel=1&amp;listRow=10&amp;menuCd=DOM_000001402003000000&amp;paging=ok&amp;startPage=1","열기")</f>
        <v>열기</v>
      </c>
    </row>
    <row r="21" spans="1:5" ht="30.95" customHeight="1">
      <c r="A21" s="10">
        <v>17</v>
      </c>
      <c r="B21" s="11" t="s">
        <v>473</v>
      </c>
      <c r="C21" s="12" t="s">
        <v>19</v>
      </c>
      <c r="D21" s="11" t="s">
        <v>25</v>
      </c>
      <c r="E21" s="21" t="str">
        <f>HYPERLINK("https://www.jeonnam.go.kr/T8636/boardList.do?displayHeader=&amp;infoReturn=&amp;menuId=jeonnam0105020000","열기")</f>
        <v>열기</v>
      </c>
    </row>
    <row r="22" spans="1:5" ht="30.95" customHeight="1">
      <c r="A22" s="7">
        <v>18</v>
      </c>
      <c r="B22" s="8" t="s">
        <v>36</v>
      </c>
      <c r="C22" s="9" t="s">
        <v>19</v>
      </c>
      <c r="D22" s="8" t="s">
        <v>15</v>
      </c>
      <c r="E22" s="20" t="str">
        <f>HYPERLINK("https://gb.go.kr/Main/page.do?URL=%2Fcommon%2Fboard%2Fboard.do&amp;BD_CODE=dept_news&amp;bdName=%EA%B0%90%EC%82%AC%EA%B2%B0%EA%B3%BC%EA%B3%B5%EA%B0%9C&amp;dept_code=6470002&amp;bbscode1=freebbs11&amp;cmd=1&amp;mnu_uid=8380","열기")</f>
        <v>열기</v>
      </c>
    </row>
    <row r="23" spans="1:5" ht="30.95" customHeight="1">
      <c r="A23" s="10">
        <v>19</v>
      </c>
      <c r="B23" s="11" t="s">
        <v>37</v>
      </c>
      <c r="C23" s="12" t="s">
        <v>38</v>
      </c>
      <c r="D23" s="11" t="s">
        <v>39</v>
      </c>
      <c r="E23" s="21" t="str">
        <f>HYPERLINK("https://www.gyeongnam.go.kr/gamsa/index.gyeong","열기")</f>
        <v>열기</v>
      </c>
    </row>
    <row r="24" spans="1:5" ht="30.95" customHeight="1">
      <c r="A24" s="7">
        <v>20</v>
      </c>
      <c r="B24" s="8" t="s">
        <v>40</v>
      </c>
      <c r="C24" s="9" t="s">
        <v>41</v>
      </c>
      <c r="D24" s="8" t="s">
        <v>15</v>
      </c>
      <c r="E24" s="20" t="str">
        <f>HYPERLINK("https://audit.jeju.go.kr/news/activity/result.htm","열기")</f>
        <v>열기</v>
      </c>
    </row>
    <row r="25" spans="1:5" ht="30.95" customHeight="1">
      <c r="A25" s="10">
        <v>21</v>
      </c>
      <c r="B25" s="11" t="s">
        <v>42</v>
      </c>
      <c r="C25" s="12" t="s">
        <v>43</v>
      </c>
      <c r="D25" s="11" t="s">
        <v>31</v>
      </c>
      <c r="E25" s="21" t="str">
        <f>HYPERLINK("https://www.jongno.go.kr/portalMain.do","열기")</f>
        <v>열기</v>
      </c>
    </row>
    <row r="26" spans="1:5" ht="30.95" customHeight="1">
      <c r="A26" s="7">
        <v>22</v>
      </c>
      <c r="B26" s="8" t="s">
        <v>44</v>
      </c>
      <c r="C26" s="9" t="s">
        <v>43</v>
      </c>
      <c r="D26" s="8" t="s">
        <v>31</v>
      </c>
      <c r="E26" s="20" t="str">
        <f>HYPERLINK("https://www.junggu.seoul.kr/","열기")</f>
        <v>열기</v>
      </c>
    </row>
    <row r="27" spans="1:5" ht="30.95" customHeight="1">
      <c r="A27" s="10">
        <v>23</v>
      </c>
      <c r="B27" s="11" t="s">
        <v>45</v>
      </c>
      <c r="C27" s="12" t="s">
        <v>43</v>
      </c>
      <c r="D27" s="11" t="s">
        <v>31</v>
      </c>
      <c r="E27" s="21" t="str">
        <f>HYPERLINK("https://www.yongsan.go.kr/","열기")</f>
        <v>열기</v>
      </c>
    </row>
    <row r="28" spans="1:5" ht="30.95" customHeight="1">
      <c r="A28" s="7">
        <v>24</v>
      </c>
      <c r="B28" s="8" t="s">
        <v>46</v>
      </c>
      <c r="C28" s="9" t="s">
        <v>43</v>
      </c>
      <c r="D28" s="8" t="s">
        <v>31</v>
      </c>
      <c r="E28" s="20" t="str">
        <f>HYPERLINK("https://www.sd.go.kr/main/index.do","열기")</f>
        <v>열기</v>
      </c>
    </row>
    <row r="29" spans="1:5" ht="30.95" customHeight="1">
      <c r="A29" s="10">
        <v>25</v>
      </c>
      <c r="B29" s="11" t="s">
        <v>47</v>
      </c>
      <c r="C29" s="12" t="s">
        <v>48</v>
      </c>
      <c r="D29" s="11" t="s">
        <v>49</v>
      </c>
      <c r="E29" s="21" t="str">
        <f>HYPERLINK("https://www.gwangjin.go.kr/portal/pgm/online/list.do?ctgryCd=0104&amp;ctgryDetailCd=010401&amp;menuNo=200066","열기")</f>
        <v>열기</v>
      </c>
    </row>
    <row r="30" spans="1:5" ht="30.95" customHeight="1">
      <c r="A30" s="7">
        <v>26</v>
      </c>
      <c r="B30" s="8" t="s">
        <v>50</v>
      </c>
      <c r="C30" s="9" t="s">
        <v>51</v>
      </c>
      <c r="D30" s="8" t="s">
        <v>49</v>
      </c>
      <c r="E30" s="20" t="str">
        <f>HYPERLINK("https://www.ddm.go.kr/www/selectBbsNttList.do?bbsNo=158&amp;integrDeptCode=&amp;key=563","열기")</f>
        <v>열기</v>
      </c>
    </row>
    <row r="31" spans="1:5" ht="30.95" customHeight="1">
      <c r="A31" s="10">
        <v>27</v>
      </c>
      <c r="B31" s="11" t="s">
        <v>52</v>
      </c>
      <c r="C31" s="12" t="s">
        <v>43</v>
      </c>
      <c r="D31" s="11" t="s">
        <v>31</v>
      </c>
      <c r="E31" s="21" t="str">
        <f>HYPERLINK("https://www.jungnang.go.kr/portal/main.do","열기")</f>
        <v>열기</v>
      </c>
    </row>
    <row r="32" spans="1:5" ht="30.95" customHeight="1">
      <c r="A32" s="7">
        <v>28</v>
      </c>
      <c r="B32" s="8" t="s">
        <v>53</v>
      </c>
      <c r="C32" s="9" t="s">
        <v>19</v>
      </c>
      <c r="D32" s="8" t="s">
        <v>49</v>
      </c>
      <c r="E32" s="20" t="str">
        <f>HYPERLINK("https://www.sb.go.kr/www/selectBbsNttList.do?bbsNo=27&amp;key=5922","열기")</f>
        <v>열기</v>
      </c>
    </row>
    <row r="33" spans="1:5" ht="30.95" customHeight="1">
      <c r="A33" s="10">
        <v>29</v>
      </c>
      <c r="B33" s="11" t="s">
        <v>54</v>
      </c>
      <c r="C33" s="12" t="s">
        <v>43</v>
      </c>
      <c r="D33" s="11" t="s">
        <v>31</v>
      </c>
      <c r="E33" s="21" t="str">
        <f>HYPERLINK("https://www.gangbuk.go.kr/www/index.do","열기")</f>
        <v>열기</v>
      </c>
    </row>
    <row r="34" spans="1:5" ht="30.95" customHeight="1">
      <c r="A34" s="7">
        <v>30</v>
      </c>
      <c r="B34" s="8" t="s">
        <v>55</v>
      </c>
      <c r="C34" s="9" t="s">
        <v>43</v>
      </c>
      <c r="D34" s="8" t="s">
        <v>31</v>
      </c>
      <c r="E34" s="20" t="str">
        <f>HYPERLINK("https://www.dobong.go.kr/","열기")</f>
        <v>열기</v>
      </c>
    </row>
    <row r="35" spans="1:5" ht="30.95" customHeight="1">
      <c r="A35" s="10">
        <v>31</v>
      </c>
      <c r="B35" s="11" t="s">
        <v>56</v>
      </c>
      <c r="C35" s="12" t="s">
        <v>43</v>
      </c>
      <c r="D35" s="11" t="s">
        <v>31</v>
      </c>
      <c r="E35" s="21" t="str">
        <f>HYPERLINK("https://www.nowon.kr/","열기")</f>
        <v>열기</v>
      </c>
    </row>
    <row r="36" spans="1:5" ht="30.95" customHeight="1">
      <c r="A36" s="7">
        <v>32</v>
      </c>
      <c r="B36" s="8" t="s">
        <v>57</v>
      </c>
      <c r="C36" s="9" t="s">
        <v>43</v>
      </c>
      <c r="D36" s="8" t="s">
        <v>31</v>
      </c>
      <c r="E36" s="20" t="str">
        <f>HYPERLINK("https://www.ep.go.kr/www/index.do","열기")</f>
        <v>열기</v>
      </c>
    </row>
    <row r="37" spans="1:5" ht="30.95" customHeight="1">
      <c r="A37" s="10">
        <v>33</v>
      </c>
      <c r="B37" s="11" t="s">
        <v>58</v>
      </c>
      <c r="C37" s="12" t="s">
        <v>21</v>
      </c>
      <c r="D37" s="11" t="s">
        <v>49</v>
      </c>
      <c r="E37" s="21" t="str">
        <f>HYPERLINK("https://www.sdm.go.kr/clean/inspect/result.do","열기")</f>
        <v>열기</v>
      </c>
    </row>
    <row r="38" spans="1:5" ht="30.95" customHeight="1">
      <c r="A38" s="7">
        <v>34</v>
      </c>
      <c r="B38" s="8" t="s">
        <v>59</v>
      </c>
      <c r="C38" s="9" t="s">
        <v>43</v>
      </c>
      <c r="D38" s="8" t="s">
        <v>31</v>
      </c>
      <c r="E38" s="20" t="str">
        <f>HYPERLINK("https://www.mapo.go.kr/site/main/home","열기")</f>
        <v>열기</v>
      </c>
    </row>
    <row r="39" spans="1:5" ht="30.95" customHeight="1">
      <c r="A39" s="10">
        <v>35</v>
      </c>
      <c r="B39" s="11" t="s">
        <v>60</v>
      </c>
      <c r="C39" s="12" t="s">
        <v>43</v>
      </c>
      <c r="D39" s="11" t="s">
        <v>31</v>
      </c>
      <c r="E39" s="21" t="str">
        <f>HYPERLINK("https://www.yangcheon.go.kr/site/yangcheon/main.do","열기")</f>
        <v>열기</v>
      </c>
    </row>
    <row r="40" spans="1:5" ht="30.95" customHeight="1">
      <c r="A40" s="7">
        <v>36</v>
      </c>
      <c r="B40" s="8" t="s">
        <v>61</v>
      </c>
      <c r="C40" s="9" t="s">
        <v>43</v>
      </c>
      <c r="D40" s="8" t="s">
        <v>31</v>
      </c>
      <c r="E40" s="20" t="str">
        <f>HYPERLINK("https://www.gangseo.seoul.kr/index","열기")</f>
        <v>열기</v>
      </c>
    </row>
    <row r="41" spans="1:5" ht="30.95" customHeight="1">
      <c r="A41" s="10">
        <v>37</v>
      </c>
      <c r="B41" s="11" t="s">
        <v>62</v>
      </c>
      <c r="C41" s="12" t="s">
        <v>63</v>
      </c>
      <c r="D41" s="11" t="s">
        <v>49</v>
      </c>
      <c r="E41" s="21" t="str">
        <f>HYPERLINK("https://www.guro.go.kr/upright/selectBbsNttList.do?bbsNo=593&amp;key=1532","열기")</f>
        <v>열기</v>
      </c>
    </row>
    <row r="42" spans="1:5" ht="30.95" customHeight="1">
      <c r="A42" s="7">
        <v>38</v>
      </c>
      <c r="B42" s="8" t="s">
        <v>64</v>
      </c>
      <c r="C42" s="9" t="s">
        <v>43</v>
      </c>
      <c r="D42" s="8" t="s">
        <v>31</v>
      </c>
      <c r="E42" s="20" t="str">
        <f>HYPERLINK("https://www.geumcheon.go.kr/portal/index.do","열기")</f>
        <v>열기</v>
      </c>
    </row>
    <row r="43" spans="1:5" ht="30.95" customHeight="1">
      <c r="A43" s="10">
        <v>39</v>
      </c>
      <c r="B43" s="11" t="s">
        <v>65</v>
      </c>
      <c r="C43" s="12" t="s">
        <v>21</v>
      </c>
      <c r="D43" s="11" t="s">
        <v>49</v>
      </c>
      <c r="E43" s="21" t="str">
        <f>HYPERLINK("https://www.ydp.go.kr/www/selectBbsNttList.do?bbsNo=33&amp;key=2821","열기")</f>
        <v>열기</v>
      </c>
    </row>
    <row r="44" spans="1:5" ht="30.95" customHeight="1">
      <c r="A44" s="7">
        <v>40</v>
      </c>
      <c r="B44" s="8" t="s">
        <v>66</v>
      </c>
      <c r="C44" s="9" t="s">
        <v>19</v>
      </c>
      <c r="D44" s="8" t="s">
        <v>49</v>
      </c>
      <c r="E44" s="20" t="str">
        <f>HYPERLINK("https://www.dongjak.go.kr/portal/bbs/B0000712/list.do?menuNo=200208","열기")</f>
        <v>열기</v>
      </c>
    </row>
    <row r="45" spans="1:5" ht="30.95" customHeight="1">
      <c r="A45" s="10">
        <v>41</v>
      </c>
      <c r="B45" s="11" t="s">
        <v>67</v>
      </c>
      <c r="C45" s="12" t="s">
        <v>43</v>
      </c>
      <c r="D45" s="11" t="s">
        <v>31</v>
      </c>
      <c r="E45" s="21" t="str">
        <f>HYPERLINK("https://www.gwanak.go.kr/site/gwanak/main.do","열기")</f>
        <v>열기</v>
      </c>
    </row>
    <row r="46" spans="1:5" ht="30.95" customHeight="1">
      <c r="A46" s="7">
        <v>42</v>
      </c>
      <c r="B46" s="8" t="s">
        <v>68</v>
      </c>
      <c r="C46" s="9" t="s">
        <v>69</v>
      </c>
      <c r="D46" s="8" t="s">
        <v>49</v>
      </c>
      <c r="E46" s="20" t="str">
        <f>HYPERLINK("https://www.seocho.go.kr/site/seocho/ex/publicList/PublicListF.do","열기")</f>
        <v>열기</v>
      </c>
    </row>
    <row r="47" spans="1:5" ht="30.95" customHeight="1">
      <c r="A47" s="10">
        <v>43</v>
      </c>
      <c r="B47" s="11" t="s">
        <v>70</v>
      </c>
      <c r="C47" s="12" t="s">
        <v>71</v>
      </c>
      <c r="D47" s="11" t="s">
        <v>49</v>
      </c>
      <c r="E47" s="21" t="str">
        <f>HYPERLINK("https://www.gangnam.go.kr/publicinfo/main.do","열기")</f>
        <v>열기</v>
      </c>
    </row>
    <row r="48" spans="1:5" ht="30.95" customHeight="1">
      <c r="A48" s="7">
        <v>44</v>
      </c>
      <c r="B48" s="8" t="s">
        <v>72</v>
      </c>
      <c r="C48" s="9" t="s">
        <v>43</v>
      </c>
      <c r="D48" s="8" t="s">
        <v>31</v>
      </c>
      <c r="E48" s="20" t="str">
        <f>HYPERLINK("https://www.songpa.go.kr/www/index.do","열기")</f>
        <v>열기</v>
      </c>
    </row>
    <row r="49" spans="1:5" ht="30.95" customHeight="1">
      <c r="A49" s="10">
        <v>45</v>
      </c>
      <c r="B49" s="11" t="s">
        <v>73</v>
      </c>
      <c r="C49" s="12" t="s">
        <v>43</v>
      </c>
      <c r="D49" s="11" t="s">
        <v>31</v>
      </c>
      <c r="E49" s="21" t="str">
        <f>HYPERLINK("https://www.gangdong.go.kr/newportal/","열기")</f>
        <v>열기</v>
      </c>
    </row>
    <row r="50" spans="1:5" ht="30.95" customHeight="1">
      <c r="A50" s="7">
        <v>46</v>
      </c>
      <c r="B50" s="8" t="s">
        <v>74</v>
      </c>
      <c r="C50" s="9" t="s">
        <v>75</v>
      </c>
      <c r="D50" s="8" t="s">
        <v>9</v>
      </c>
      <c r="E50" s="20" t="str">
        <f>HYPERLINK("https://www.suwon.go.kr/web/board/BD_board.list.do?bbsCd=1137&amp;showSummaryYn=N","열기")</f>
        <v>열기</v>
      </c>
    </row>
    <row r="51" spans="1:5" ht="30.95" customHeight="1">
      <c r="A51" s="10">
        <v>47</v>
      </c>
      <c r="B51" s="11" t="s">
        <v>76</v>
      </c>
      <c r="C51" s="12" t="s">
        <v>77</v>
      </c>
      <c r="D51" s="11" t="s">
        <v>9</v>
      </c>
      <c r="E51" s="21" t="str">
        <f>HYPERLINK("https://www.yongin.go.kr/user/bbs/BD_selectBbsList.do?q_bbsCode=1093","열기")</f>
        <v>열기</v>
      </c>
    </row>
    <row r="52" spans="1:5" ht="30.95" customHeight="1">
      <c r="A52" s="7">
        <v>48</v>
      </c>
      <c r="B52" s="8" t="s">
        <v>78</v>
      </c>
      <c r="C52" s="9" t="s">
        <v>79</v>
      </c>
      <c r="D52" s="8" t="s">
        <v>80</v>
      </c>
      <c r="E52" s="20" t="str">
        <f>HYPERLINK("https://www.goyang.go.kr/","열기")</f>
        <v>열기</v>
      </c>
    </row>
    <row r="53" spans="1:5" ht="30.95" customHeight="1">
      <c r="A53" s="10">
        <v>49</v>
      </c>
      <c r="B53" s="11" t="s">
        <v>81</v>
      </c>
      <c r="C53" s="12" t="s">
        <v>82</v>
      </c>
      <c r="D53" s="11" t="s">
        <v>9</v>
      </c>
      <c r="E53" s="21" t="str">
        <f>HYPERLINK("https://www.hscity.go.kr/www/user/bbs/BD_selectBbsList.do?q_bbsCode=1115","열기")</f>
        <v>열기</v>
      </c>
    </row>
    <row r="54" spans="1:5" ht="30.95" customHeight="1">
      <c r="A54" s="7">
        <v>50</v>
      </c>
      <c r="B54" s="8" t="s">
        <v>83</v>
      </c>
      <c r="C54" s="9" t="s">
        <v>84</v>
      </c>
      <c r="D54" s="8" t="s">
        <v>9</v>
      </c>
      <c r="E54" s="20" t="str">
        <f>HYPERLINK("https://www.seongnam.go.kr/city/1001145/30084/bbsList.do","열기")</f>
        <v>열기</v>
      </c>
    </row>
    <row r="55" spans="1:5" ht="30.95" customHeight="1">
      <c r="A55" s="10">
        <v>51</v>
      </c>
      <c r="B55" s="11" t="s">
        <v>85</v>
      </c>
      <c r="C55" s="12" t="s">
        <v>86</v>
      </c>
      <c r="D55" s="11" t="s">
        <v>87</v>
      </c>
      <c r="E55" s="21" t="str">
        <f>HYPERLINK("https://www.bucheon.go.kr/site/program/board/basicboard/list?boardtypeid=26716&amp;menuid=148004003004&amp;pagesize=10","열기")</f>
        <v>열기</v>
      </c>
    </row>
    <row r="56" spans="1:5" ht="30.95" customHeight="1">
      <c r="A56" s="7">
        <v>52</v>
      </c>
      <c r="B56" s="8" t="s">
        <v>88</v>
      </c>
      <c r="C56" s="9" t="s">
        <v>89</v>
      </c>
      <c r="D56" s="8" t="s">
        <v>87</v>
      </c>
      <c r="E56" s="20" t="str">
        <f>HYPERLINK("https://www.nyj.go.kr/www/selectTnBeffatInfoPublictListU.do?key=2407&amp;sc3=10","열기")</f>
        <v>열기</v>
      </c>
    </row>
    <row r="57" spans="1:5" ht="30.95" customHeight="1">
      <c r="A57" s="10">
        <v>53</v>
      </c>
      <c r="B57" s="11" t="s">
        <v>90</v>
      </c>
      <c r="C57" s="12" t="s">
        <v>91</v>
      </c>
      <c r="D57" s="11" t="s">
        <v>92</v>
      </c>
      <c r="E57" s="21" t="str">
        <f>HYPERLINK("https://www.ansan.go.kr/www/common/bbs/selectPageListBbs.do?bbs_code=WWW07&amp;key=NEO&amp;sch_text=%EA%B0%90%EC%82%AC%EA%B4%80&amp;sch_type=register_nm","열기")</f>
        <v>열기</v>
      </c>
    </row>
    <row r="58" spans="1:5" ht="30.95" customHeight="1">
      <c r="A58" s="7">
        <v>54</v>
      </c>
      <c r="B58" s="8" t="s">
        <v>93</v>
      </c>
      <c r="C58" s="9" t="s">
        <v>79</v>
      </c>
      <c r="D58" s="8" t="s">
        <v>80</v>
      </c>
      <c r="E58" s="20" t="str">
        <f>HYPERLINK("https://www.pyeongtaek.go.kr/","열기")</f>
        <v>열기</v>
      </c>
    </row>
    <row r="59" spans="1:5" ht="30.95" customHeight="1">
      <c r="A59" s="10">
        <v>55</v>
      </c>
      <c r="B59" s="11" t="s">
        <v>94</v>
      </c>
      <c r="C59" s="12" t="s">
        <v>95</v>
      </c>
      <c r="D59" s="11" t="s">
        <v>9</v>
      </c>
      <c r="E59" s="21" t="str">
        <f>HYPERLINK("https://www.anyang.go.kr/main/selectBbsNttList.do?bbsNo=44&amp;key=219","열기")</f>
        <v>열기</v>
      </c>
    </row>
    <row r="60" spans="1:5" ht="30.95" customHeight="1">
      <c r="A60" s="7">
        <v>56</v>
      </c>
      <c r="B60" s="8" t="s">
        <v>96</v>
      </c>
      <c r="C60" s="9" t="s">
        <v>97</v>
      </c>
      <c r="D60" s="8" t="s">
        <v>98</v>
      </c>
      <c r="E60" s="20" t="str">
        <f>HYPERLINK("https://www.siheung.go.kr/","열기")</f>
        <v>열기</v>
      </c>
    </row>
    <row r="61" spans="1:5" ht="30.95" customHeight="1">
      <c r="A61" s="10">
        <v>57</v>
      </c>
      <c r="B61" s="11" t="s">
        <v>99</v>
      </c>
      <c r="C61" s="12" t="s">
        <v>100</v>
      </c>
      <c r="D61" s="11" t="s">
        <v>9</v>
      </c>
      <c r="E61" s="21" t="str">
        <f>HYPERLINK("https://www.paju.go.kr/user/board/BD_board.list.do?bbsCd=9027","열기")</f>
        <v>열기</v>
      </c>
    </row>
    <row r="62" spans="1:5" ht="30.95" customHeight="1">
      <c r="A62" s="7">
        <v>58</v>
      </c>
      <c r="B62" s="8" t="s">
        <v>101</v>
      </c>
      <c r="C62" s="9" t="s">
        <v>82</v>
      </c>
      <c r="D62" s="8" t="s">
        <v>9</v>
      </c>
      <c r="E62" s="20" t="str">
        <f>HYPERLINK("https://www.gimpo.go.kr/portal/selectBbsNttList.do?bbsNo=202&amp;deleteAt=N&amp;key=1100","열기")</f>
        <v>열기</v>
      </c>
    </row>
    <row r="63" spans="1:5" ht="30.95" customHeight="1">
      <c r="A63" s="10">
        <v>59</v>
      </c>
      <c r="B63" s="11" t="s">
        <v>102</v>
      </c>
      <c r="C63" s="12" t="s">
        <v>103</v>
      </c>
      <c r="D63" s="11" t="s">
        <v>104</v>
      </c>
      <c r="E63" s="21" t="str">
        <f>HYPERLINK("https://www.ui4u.go.kr/portal/staff/list.do?deptCode=38200970000&amp;mId=0505010200","열기")</f>
        <v>열기</v>
      </c>
    </row>
    <row r="64" spans="1:5" ht="30.95" customHeight="1">
      <c r="A64" s="7">
        <v>60</v>
      </c>
      <c r="B64" s="8" t="s">
        <v>105</v>
      </c>
      <c r="C64" s="9" t="s">
        <v>106</v>
      </c>
      <c r="D64" s="8" t="s">
        <v>9</v>
      </c>
      <c r="E64" s="20" t="str">
        <f>HYPERLINK("https://www.gjcity.go.kr/portal/bbs/list.do?ptIdx=30&amp;mId=0314010000","열기")</f>
        <v>열기</v>
      </c>
    </row>
    <row r="65" spans="1:5" ht="30.95" customHeight="1">
      <c r="A65" s="10">
        <v>61</v>
      </c>
      <c r="B65" s="11" t="s">
        <v>107</v>
      </c>
      <c r="C65" s="12" t="s">
        <v>108</v>
      </c>
      <c r="D65" s="11" t="s">
        <v>9</v>
      </c>
      <c r="E65" s="21" t="str">
        <f>HYPERLINK("https://www.hanam.go.kr/www/selectBbsNttList.do?bbsNo=70&amp;key=3509","열기")</f>
        <v>열기</v>
      </c>
    </row>
    <row r="66" spans="1:5" ht="30.95" customHeight="1">
      <c r="A66" s="7">
        <v>62</v>
      </c>
      <c r="B66" s="8" t="s">
        <v>109</v>
      </c>
      <c r="C66" s="9" t="s">
        <v>110</v>
      </c>
      <c r="D66" s="8" t="s">
        <v>9</v>
      </c>
      <c r="E66" s="20" t="str">
        <f>HYPERLINK("https://www.gm.go.kr/pt/user/bbs/BD_selectBbsList.do?q_bbsCode=2055&amp;q_clCode=2","열기")</f>
        <v>열기</v>
      </c>
    </row>
    <row r="67" spans="1:5" ht="30.95" customHeight="1">
      <c r="A67" s="10">
        <v>63</v>
      </c>
      <c r="B67" s="11" t="s">
        <v>111</v>
      </c>
      <c r="C67" s="12" t="s">
        <v>112</v>
      </c>
      <c r="D67" s="11" t="s">
        <v>87</v>
      </c>
      <c r="E67" s="21" t="str">
        <f>HYPERLINK("https://www.gunpo.go.kr/www/contents.do?key=4191","열기")</f>
        <v>열기</v>
      </c>
    </row>
    <row r="68" spans="1:5" ht="30.95" customHeight="1">
      <c r="A68" s="7">
        <v>64</v>
      </c>
      <c r="B68" s="8" t="s">
        <v>113</v>
      </c>
      <c r="C68" s="9" t="s">
        <v>114</v>
      </c>
      <c r="D68" s="8" t="s">
        <v>9</v>
      </c>
      <c r="E68" s="20" t="str">
        <f>HYPERLINK("https://lll.yangju.go.kr/www/selectBbsNttList.do?bbsNo=28&amp;key=226","열기")</f>
        <v>열기</v>
      </c>
    </row>
    <row r="69" spans="1:5" ht="30.95" customHeight="1">
      <c r="A69" s="10">
        <v>65</v>
      </c>
      <c r="B69" s="11" t="s">
        <v>115</v>
      </c>
      <c r="C69" s="12" t="s">
        <v>79</v>
      </c>
      <c r="D69" s="11" t="s">
        <v>80</v>
      </c>
      <c r="E69" s="21" t="str">
        <f>HYPERLINK("https://www.osan.go.kr/","열기")</f>
        <v>열기</v>
      </c>
    </row>
    <row r="70" spans="1:5" ht="30.95" customHeight="1">
      <c r="A70" s="7">
        <v>66</v>
      </c>
      <c r="B70" s="8" t="s">
        <v>116</v>
      </c>
      <c r="C70" s="9" t="s">
        <v>117</v>
      </c>
      <c r="D70" s="8" t="s">
        <v>118</v>
      </c>
      <c r="E70" s="20" t="str">
        <f>HYPERLINK("https://www.icheon.go.kr/","열기")</f>
        <v>열기</v>
      </c>
    </row>
    <row r="71" spans="1:5" ht="30.95" customHeight="1">
      <c r="A71" s="10">
        <v>67</v>
      </c>
      <c r="B71" s="11" t="s">
        <v>119</v>
      </c>
      <c r="C71" s="12" t="s">
        <v>14</v>
      </c>
      <c r="D71" s="11" t="s">
        <v>9</v>
      </c>
      <c r="E71" s="21" t="str">
        <f>HYPERLINK("https://www.anseong.go.kr/portal/auditPlanResult/list.do?mId=0402020000","열기")</f>
        <v>열기</v>
      </c>
    </row>
    <row r="72" spans="1:5" ht="30.95" customHeight="1">
      <c r="A72" s="7">
        <v>68</v>
      </c>
      <c r="B72" s="8" t="s">
        <v>120</v>
      </c>
      <c r="C72" s="9" t="s">
        <v>121</v>
      </c>
      <c r="D72" s="8" t="s">
        <v>9</v>
      </c>
      <c r="E72" s="20" t="str">
        <f>HYPERLINK("https://www.guri.go.kr/www/selectBbsNttList.do?bbsNo=17&amp;key=343","열기")</f>
        <v>열기</v>
      </c>
    </row>
    <row r="73" spans="1:5" ht="30.95" customHeight="1">
      <c r="A73" s="10">
        <v>69</v>
      </c>
      <c r="B73" s="11" t="s">
        <v>122</v>
      </c>
      <c r="C73" s="12" t="s">
        <v>123</v>
      </c>
      <c r="D73" s="11" t="s">
        <v>9</v>
      </c>
      <c r="E73" s="21" t="str">
        <f>HYPERLINK("https://www.uiwang.go.kr/UWKOROPEN0701","열기")</f>
        <v>열기</v>
      </c>
    </row>
    <row r="74" spans="1:5" ht="30.95" customHeight="1">
      <c r="A74" s="7">
        <v>70</v>
      </c>
      <c r="B74" s="8" t="s">
        <v>124</v>
      </c>
      <c r="C74" s="9" t="s">
        <v>79</v>
      </c>
      <c r="D74" s="8" t="s">
        <v>80</v>
      </c>
      <c r="E74" s="20" t="str">
        <f>HYPERLINK("https://www.pocheon.go.kr/","열기")</f>
        <v>열기</v>
      </c>
    </row>
    <row r="75" spans="1:5" ht="30.95" customHeight="1">
      <c r="A75" s="10">
        <v>71</v>
      </c>
      <c r="B75" s="11" t="s">
        <v>125</v>
      </c>
      <c r="C75" s="12" t="s">
        <v>123</v>
      </c>
      <c r="D75" s="11" t="s">
        <v>9</v>
      </c>
      <c r="E75" s="21" t="str">
        <f>HYPERLINK("https://www.yp21.go.kr/www/selectBbsNttList.do?bbsNo=46&amp;key=1600","열기")</f>
        <v>열기</v>
      </c>
    </row>
    <row r="76" spans="1:5" ht="30.95" customHeight="1">
      <c r="A76" s="7">
        <v>72</v>
      </c>
      <c r="B76" s="8" t="s">
        <v>126</v>
      </c>
      <c r="C76" s="9" t="s">
        <v>79</v>
      </c>
      <c r="D76" s="8" t="s">
        <v>80</v>
      </c>
      <c r="E76" s="20" t="str">
        <f>HYPERLINK("https://www.yeoju.go.kr/","열기")</f>
        <v>열기</v>
      </c>
    </row>
    <row r="77" spans="1:5" ht="30.95" customHeight="1">
      <c r="A77" s="10">
        <v>73</v>
      </c>
      <c r="B77" s="11" t="s">
        <v>127</v>
      </c>
      <c r="C77" s="12" t="s">
        <v>79</v>
      </c>
      <c r="D77" s="11" t="s">
        <v>80</v>
      </c>
      <c r="E77" s="21" t="str">
        <f>HYPERLINK("https://www.ddc.go.kr/","열기")</f>
        <v>열기</v>
      </c>
    </row>
    <row r="78" spans="1:5" ht="30.95" customHeight="1">
      <c r="A78" s="7">
        <v>74</v>
      </c>
      <c r="B78" s="8" t="s">
        <v>128</v>
      </c>
      <c r="C78" s="9" t="s">
        <v>129</v>
      </c>
      <c r="D78" s="8" t="s">
        <v>9</v>
      </c>
      <c r="E78" s="20" t="str">
        <f>HYPERLINK("https://www.gccity.go.kr/portal/bbs/list.do?mId=0201080000&amp;ptIdx=214","열기")</f>
        <v>열기</v>
      </c>
    </row>
    <row r="79" spans="1:5" ht="30.95" customHeight="1">
      <c r="A79" s="10">
        <v>75</v>
      </c>
      <c r="B79" s="11" t="s">
        <v>130</v>
      </c>
      <c r="C79" s="12" t="s">
        <v>131</v>
      </c>
      <c r="D79" s="11" t="s">
        <v>9</v>
      </c>
      <c r="E79" s="21" t="str">
        <f>HYPERLINK("https://www.gp.go.kr/portal/selectBbsNttList.do?bbsNo=77&amp;key=448","열기")</f>
        <v>열기</v>
      </c>
    </row>
    <row r="80" spans="1:5" ht="30.95" customHeight="1">
      <c r="A80" s="17">
        <v>76</v>
      </c>
      <c r="B80" s="18" t="s">
        <v>132</v>
      </c>
      <c r="C80" s="15" t="s">
        <v>133</v>
      </c>
      <c r="D80" s="18" t="s">
        <v>9</v>
      </c>
      <c r="E80" s="22" t="str">
        <f>HYPERLINK("https://www.yeoncheon.go.kr/www/selectBbsNttList.do?bbsNo=190&amp;key=3335","열기")</f>
        <v>열기</v>
      </c>
    </row>
  </sheetData>
  <mergeCells count="2">
    <mergeCell ref="A1:E1"/>
    <mergeCell ref="A2:E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80"/>
  <sheetViews>
    <sheetView workbookViewId="0">
      <pane xSplit="3" ySplit="4" topLeftCell="G5" activePane="bottomRight" state="frozen"/>
      <selection pane="topRight"/>
      <selection pane="bottomLeft"/>
      <selection pane="bottomRight" activeCell="K7" sqref="K7"/>
    </sheetView>
  </sheetViews>
  <sheetFormatPr defaultRowHeight="14.25"/>
  <cols>
    <col min="1" max="1" width="7" style="37" customWidth="1"/>
    <col min="2" max="2" width="17" style="37" customWidth="1"/>
    <col min="3" max="3" width="23.375" style="37" customWidth="1"/>
    <col min="4" max="4" width="42" customWidth="1"/>
    <col min="5" max="5" width="19.125" customWidth="1"/>
    <col min="6" max="6" width="42.125" customWidth="1"/>
    <col min="7" max="7" width="14" customWidth="1"/>
    <col min="8" max="8" width="49" customWidth="1"/>
    <col min="9" max="9" width="46.5" customWidth="1"/>
    <col min="10" max="10" width="12.25" customWidth="1"/>
    <col min="11" max="11" width="28.75" customWidth="1"/>
  </cols>
  <sheetData>
    <row r="1" spans="1:11" ht="27.95" customHeight="1">
      <c r="A1" s="31" t="s">
        <v>134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32.1" customHeight="1">
      <c r="A2" s="32" t="s">
        <v>135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8.1" customHeight="1"/>
    <row r="4" spans="1:11" ht="33.950000000000003" customHeight="1">
      <c r="A4" s="1" t="s">
        <v>2</v>
      </c>
      <c r="B4" s="2" t="s">
        <v>136</v>
      </c>
      <c r="C4" s="2" t="s">
        <v>3</v>
      </c>
      <c r="D4" s="2" t="s">
        <v>137</v>
      </c>
      <c r="E4" s="2" t="s">
        <v>138</v>
      </c>
      <c r="F4" s="2" t="s">
        <v>139</v>
      </c>
      <c r="G4" s="2" t="s">
        <v>140</v>
      </c>
      <c r="H4" s="2" t="s">
        <v>141</v>
      </c>
      <c r="I4" s="2" t="s">
        <v>142</v>
      </c>
      <c r="J4" s="2" t="s">
        <v>143</v>
      </c>
      <c r="K4" s="3" t="s">
        <v>144</v>
      </c>
    </row>
    <row r="5" spans="1:11" ht="44.1" customHeight="1">
      <c r="A5" s="4">
        <v>1</v>
      </c>
      <c r="B5" s="5" t="s">
        <v>145</v>
      </c>
      <c r="C5" s="5" t="s">
        <v>7</v>
      </c>
      <c r="D5" s="6" t="s">
        <v>8</v>
      </c>
      <c r="E5" s="5" t="s">
        <v>9</v>
      </c>
      <c r="F5" s="24" t="s">
        <v>146</v>
      </c>
      <c r="G5" s="5" t="s">
        <v>147</v>
      </c>
      <c r="H5" s="6" t="s">
        <v>148</v>
      </c>
      <c r="I5" s="6" t="s">
        <v>149</v>
      </c>
      <c r="J5" s="5" t="s">
        <v>150</v>
      </c>
      <c r="K5" s="23" t="s">
        <v>151</v>
      </c>
    </row>
    <row r="6" spans="1:11" ht="44.1" customHeight="1">
      <c r="A6" s="7">
        <v>2</v>
      </c>
      <c r="B6" s="8" t="s">
        <v>145</v>
      </c>
      <c r="C6" s="8" t="s">
        <v>10</v>
      </c>
      <c r="D6" s="9" t="s">
        <v>11</v>
      </c>
      <c r="E6" s="8" t="s">
        <v>12</v>
      </c>
      <c r="F6" s="25" t="s">
        <v>152</v>
      </c>
      <c r="G6" s="8" t="s">
        <v>147</v>
      </c>
      <c r="H6" s="9" t="s">
        <v>153</v>
      </c>
      <c r="I6" s="9" t="s">
        <v>154</v>
      </c>
      <c r="J6" s="8" t="s">
        <v>150</v>
      </c>
      <c r="K6" s="13" t="s">
        <v>155</v>
      </c>
    </row>
    <row r="7" spans="1:11" ht="44.1" customHeight="1">
      <c r="A7" s="10">
        <v>3</v>
      </c>
      <c r="B7" s="11" t="s">
        <v>145</v>
      </c>
      <c r="C7" s="11" t="s">
        <v>13</v>
      </c>
      <c r="D7" s="12" t="s">
        <v>14</v>
      </c>
      <c r="E7" s="11" t="s">
        <v>15</v>
      </c>
      <c r="F7" s="26" t="s">
        <v>156</v>
      </c>
      <c r="G7" s="11" t="s">
        <v>157</v>
      </c>
      <c r="H7" s="12" t="s">
        <v>158</v>
      </c>
      <c r="I7" s="12" t="s">
        <v>159</v>
      </c>
      <c r="J7" s="11" t="s">
        <v>150</v>
      </c>
      <c r="K7" s="14" t="s">
        <v>160</v>
      </c>
    </row>
    <row r="8" spans="1:11" ht="44.1" customHeight="1">
      <c r="A8" s="7">
        <v>4</v>
      </c>
      <c r="B8" s="8" t="s">
        <v>161</v>
      </c>
      <c r="C8" s="8" t="s">
        <v>16</v>
      </c>
      <c r="D8" s="9" t="s">
        <v>17</v>
      </c>
      <c r="E8" s="8" t="s">
        <v>9</v>
      </c>
      <c r="F8" s="25" t="s">
        <v>162</v>
      </c>
      <c r="G8" s="8" t="s">
        <v>147</v>
      </c>
      <c r="H8" s="9" t="s">
        <v>163</v>
      </c>
      <c r="I8" s="9" t="s">
        <v>164</v>
      </c>
      <c r="J8" s="8" t="s">
        <v>150</v>
      </c>
      <c r="K8" s="13" t="s">
        <v>165</v>
      </c>
    </row>
    <row r="9" spans="1:11" ht="44.1" customHeight="1">
      <c r="A9" s="10">
        <v>5</v>
      </c>
      <c r="B9" s="11" t="s">
        <v>166</v>
      </c>
      <c r="C9" s="11" t="s">
        <v>18</v>
      </c>
      <c r="D9" s="12" t="s">
        <v>19</v>
      </c>
      <c r="E9" s="11" t="s">
        <v>15</v>
      </c>
      <c r="F9" s="26" t="s">
        <v>167</v>
      </c>
      <c r="G9" s="11" t="s">
        <v>147</v>
      </c>
      <c r="H9" s="12" t="s">
        <v>168</v>
      </c>
      <c r="I9" s="12" t="s">
        <v>169</v>
      </c>
      <c r="J9" s="11" t="s">
        <v>150</v>
      </c>
      <c r="K9" s="14" t="s">
        <v>170</v>
      </c>
    </row>
    <row r="10" spans="1:11" ht="44.1" customHeight="1">
      <c r="A10" s="7">
        <v>6</v>
      </c>
      <c r="B10" s="8" t="s">
        <v>171</v>
      </c>
      <c r="C10" s="8" t="s">
        <v>20</v>
      </c>
      <c r="D10" s="9" t="s">
        <v>21</v>
      </c>
      <c r="E10" s="8" t="s">
        <v>15</v>
      </c>
      <c r="F10" s="27" t="s">
        <v>172</v>
      </c>
      <c r="G10" s="8" t="s">
        <v>147</v>
      </c>
      <c r="H10" s="9" t="s">
        <v>173</v>
      </c>
      <c r="I10" s="9" t="s">
        <v>174</v>
      </c>
      <c r="J10" s="8" t="s">
        <v>150</v>
      </c>
      <c r="K10" s="13" t="s">
        <v>175</v>
      </c>
    </row>
    <row r="11" spans="1:11" ht="44.1" customHeight="1">
      <c r="A11" s="10">
        <v>7</v>
      </c>
      <c r="B11" s="11" t="s">
        <v>171</v>
      </c>
      <c r="C11" s="11" t="s">
        <v>22</v>
      </c>
      <c r="D11" s="12" t="s">
        <v>19</v>
      </c>
      <c r="E11" s="11" t="s">
        <v>15</v>
      </c>
      <c r="F11" s="26" t="s">
        <v>176</v>
      </c>
      <c r="G11" s="11" t="s">
        <v>147</v>
      </c>
      <c r="H11" s="12" t="s">
        <v>177</v>
      </c>
      <c r="I11" s="12" t="s">
        <v>178</v>
      </c>
      <c r="J11" s="11" t="s">
        <v>150</v>
      </c>
      <c r="K11" s="14"/>
    </row>
    <row r="12" spans="1:11" ht="44.1" customHeight="1">
      <c r="A12" s="7">
        <v>8</v>
      </c>
      <c r="B12" s="8" t="s">
        <v>171</v>
      </c>
      <c r="C12" s="8" t="s">
        <v>23</v>
      </c>
      <c r="D12" s="9" t="s">
        <v>19</v>
      </c>
      <c r="E12" s="8" t="s">
        <v>15</v>
      </c>
      <c r="F12" s="27" t="s">
        <v>179</v>
      </c>
      <c r="G12" s="8" t="s">
        <v>147</v>
      </c>
      <c r="H12" s="9" t="s">
        <v>180</v>
      </c>
      <c r="I12" s="9" t="s">
        <v>181</v>
      </c>
      <c r="J12" s="8" t="s">
        <v>150</v>
      </c>
      <c r="K12" s="13"/>
    </row>
    <row r="13" spans="1:11" ht="44.1" customHeight="1">
      <c r="A13" s="10">
        <v>9</v>
      </c>
      <c r="B13" s="11" t="s">
        <v>182</v>
      </c>
      <c r="C13" s="11" t="s">
        <v>472</v>
      </c>
      <c r="D13" s="12" t="s">
        <v>19</v>
      </c>
      <c r="E13" s="11" t="s">
        <v>25</v>
      </c>
      <c r="F13" s="26" t="s">
        <v>183</v>
      </c>
      <c r="G13" s="11" t="s">
        <v>147</v>
      </c>
      <c r="H13" s="12" t="s">
        <v>184</v>
      </c>
      <c r="I13" s="12" t="s">
        <v>185</v>
      </c>
      <c r="J13" s="11" t="s">
        <v>150</v>
      </c>
      <c r="K13" s="14" t="s">
        <v>186</v>
      </c>
    </row>
    <row r="14" spans="1:11" ht="44.1" customHeight="1">
      <c r="A14" s="7">
        <v>10</v>
      </c>
      <c r="B14" s="8" t="s">
        <v>171</v>
      </c>
      <c r="C14" s="8" t="s">
        <v>26</v>
      </c>
      <c r="D14" s="9" t="s">
        <v>19</v>
      </c>
      <c r="E14" s="8" t="s">
        <v>15</v>
      </c>
      <c r="F14" s="27" t="s">
        <v>187</v>
      </c>
      <c r="G14" s="8" t="s">
        <v>157</v>
      </c>
      <c r="H14" s="9" t="s">
        <v>188</v>
      </c>
      <c r="I14" s="9" t="s">
        <v>189</v>
      </c>
      <c r="J14" s="8" t="s">
        <v>150</v>
      </c>
      <c r="K14" s="13"/>
    </row>
    <row r="15" spans="1:11" ht="44.1" customHeight="1">
      <c r="A15" s="10">
        <v>11</v>
      </c>
      <c r="B15" s="11" t="s">
        <v>171</v>
      </c>
      <c r="C15" s="11" t="s">
        <v>27</v>
      </c>
      <c r="D15" s="12" t="s">
        <v>19</v>
      </c>
      <c r="E15" s="11" t="s">
        <v>28</v>
      </c>
      <c r="F15" s="26" t="s">
        <v>190</v>
      </c>
      <c r="G15" s="11" t="s">
        <v>157</v>
      </c>
      <c r="H15" s="12" t="s">
        <v>191</v>
      </c>
      <c r="I15" s="12" t="s">
        <v>192</v>
      </c>
      <c r="J15" s="11" t="s">
        <v>150</v>
      </c>
      <c r="K15" s="14" t="s">
        <v>193</v>
      </c>
    </row>
    <row r="16" spans="1:11" ht="44.1" customHeight="1">
      <c r="A16" s="7">
        <v>12</v>
      </c>
      <c r="B16" s="8" t="s">
        <v>194</v>
      </c>
      <c r="C16" s="8" t="s">
        <v>29</v>
      </c>
      <c r="D16" s="9" t="s">
        <v>30</v>
      </c>
      <c r="E16" s="8" t="s">
        <v>31</v>
      </c>
      <c r="F16" s="27" t="s">
        <v>195</v>
      </c>
      <c r="G16" s="8" t="s">
        <v>196</v>
      </c>
      <c r="H16" s="9" t="s">
        <v>197</v>
      </c>
      <c r="I16" s="9" t="s">
        <v>198</v>
      </c>
      <c r="J16" s="8" t="s">
        <v>150</v>
      </c>
      <c r="K16" s="13" t="s">
        <v>199</v>
      </c>
    </row>
    <row r="17" spans="1:11" ht="44.1" customHeight="1">
      <c r="A17" s="10">
        <v>13</v>
      </c>
      <c r="B17" s="11" t="s">
        <v>200</v>
      </c>
      <c r="C17" s="11" t="s">
        <v>32</v>
      </c>
      <c r="D17" s="12" t="s">
        <v>21</v>
      </c>
      <c r="E17" s="11" t="s">
        <v>15</v>
      </c>
      <c r="F17" s="26" t="s">
        <v>201</v>
      </c>
      <c r="G17" s="11" t="s">
        <v>147</v>
      </c>
      <c r="H17" s="12" t="s">
        <v>202</v>
      </c>
      <c r="I17" s="12" t="s">
        <v>203</v>
      </c>
      <c r="J17" s="11" t="s">
        <v>150</v>
      </c>
      <c r="K17" s="14" t="s">
        <v>204</v>
      </c>
    </row>
    <row r="18" spans="1:11" ht="44.1" customHeight="1">
      <c r="A18" s="7">
        <v>14</v>
      </c>
      <c r="B18" s="8" t="s">
        <v>161</v>
      </c>
      <c r="C18" s="8" t="s">
        <v>33</v>
      </c>
      <c r="D18" s="9" t="s">
        <v>21</v>
      </c>
      <c r="E18" s="8" t="s">
        <v>15</v>
      </c>
      <c r="F18" s="27" t="s">
        <v>205</v>
      </c>
      <c r="G18" s="8" t="s">
        <v>157</v>
      </c>
      <c r="H18" s="9" t="s">
        <v>206</v>
      </c>
      <c r="I18" s="9" t="s">
        <v>207</v>
      </c>
      <c r="J18" s="8" t="s">
        <v>150</v>
      </c>
      <c r="K18" s="13"/>
    </row>
    <row r="19" spans="1:11" ht="44.1" customHeight="1">
      <c r="A19" s="10">
        <v>15</v>
      </c>
      <c r="B19" s="11" t="s">
        <v>161</v>
      </c>
      <c r="C19" s="11" t="s">
        <v>34</v>
      </c>
      <c r="D19" s="12" t="s">
        <v>19</v>
      </c>
      <c r="E19" s="11" t="s">
        <v>15</v>
      </c>
      <c r="F19" s="26" t="s">
        <v>208</v>
      </c>
      <c r="G19" s="11" t="s">
        <v>147</v>
      </c>
      <c r="H19" s="12" t="s">
        <v>209</v>
      </c>
      <c r="I19" s="12" t="s">
        <v>210</v>
      </c>
      <c r="J19" s="11" t="s">
        <v>150</v>
      </c>
      <c r="K19" s="14"/>
    </row>
    <row r="20" spans="1:11" ht="44.1" customHeight="1">
      <c r="A20" s="7">
        <v>16</v>
      </c>
      <c r="B20" s="8" t="s">
        <v>200</v>
      </c>
      <c r="C20" s="8" t="s">
        <v>35</v>
      </c>
      <c r="D20" s="9" t="s">
        <v>21</v>
      </c>
      <c r="E20" s="8" t="s">
        <v>15</v>
      </c>
      <c r="F20" s="27" t="s">
        <v>211</v>
      </c>
      <c r="G20" s="8" t="s">
        <v>157</v>
      </c>
      <c r="H20" s="9" t="s">
        <v>212</v>
      </c>
      <c r="I20" s="9" t="s">
        <v>213</v>
      </c>
      <c r="J20" s="8" t="s">
        <v>150</v>
      </c>
      <c r="K20" s="13"/>
    </row>
    <row r="21" spans="1:11" ht="44.1" customHeight="1">
      <c r="A21" s="10">
        <v>17</v>
      </c>
      <c r="B21" s="11" t="s">
        <v>182</v>
      </c>
      <c r="C21" s="11" t="s">
        <v>473</v>
      </c>
      <c r="D21" s="12" t="s">
        <v>19</v>
      </c>
      <c r="E21" s="11" t="s">
        <v>25</v>
      </c>
      <c r="F21" s="26" t="s">
        <v>214</v>
      </c>
      <c r="G21" s="11" t="s">
        <v>157</v>
      </c>
      <c r="H21" s="12" t="s">
        <v>215</v>
      </c>
      <c r="I21" s="12" t="s">
        <v>216</v>
      </c>
      <c r="J21" s="11" t="s">
        <v>150</v>
      </c>
      <c r="K21" s="14" t="s">
        <v>217</v>
      </c>
    </row>
    <row r="22" spans="1:11" ht="44.1" customHeight="1">
      <c r="A22" s="7">
        <v>18</v>
      </c>
      <c r="B22" s="8" t="s">
        <v>161</v>
      </c>
      <c r="C22" s="8" t="s">
        <v>36</v>
      </c>
      <c r="D22" s="9" t="s">
        <v>19</v>
      </c>
      <c r="E22" s="8" t="s">
        <v>15</v>
      </c>
      <c r="F22" s="27" t="s">
        <v>218</v>
      </c>
      <c r="G22" s="8" t="s">
        <v>157</v>
      </c>
      <c r="H22" s="9" t="s">
        <v>219</v>
      </c>
      <c r="I22" s="9" t="s">
        <v>220</v>
      </c>
      <c r="J22" s="8" t="s">
        <v>150</v>
      </c>
      <c r="K22" s="13"/>
    </row>
    <row r="23" spans="1:11" ht="44.1" customHeight="1">
      <c r="A23" s="10">
        <v>19</v>
      </c>
      <c r="B23" s="11" t="s">
        <v>161</v>
      </c>
      <c r="C23" s="11" t="s">
        <v>37</v>
      </c>
      <c r="D23" s="12" t="s">
        <v>38</v>
      </c>
      <c r="E23" s="11" t="s">
        <v>39</v>
      </c>
      <c r="F23" s="26" t="s">
        <v>221</v>
      </c>
      <c r="G23" s="11" t="s">
        <v>157</v>
      </c>
      <c r="H23" s="12" t="s">
        <v>222</v>
      </c>
      <c r="I23" s="12" t="s">
        <v>223</v>
      </c>
      <c r="J23" s="11" t="s">
        <v>150</v>
      </c>
      <c r="K23" s="14" t="s">
        <v>224</v>
      </c>
    </row>
    <row r="24" spans="1:11" ht="44.1" customHeight="1">
      <c r="A24" s="7">
        <v>20</v>
      </c>
      <c r="B24" s="8" t="s">
        <v>200</v>
      </c>
      <c r="C24" s="8" t="s">
        <v>40</v>
      </c>
      <c r="D24" s="9" t="s">
        <v>41</v>
      </c>
      <c r="E24" s="8" t="s">
        <v>15</v>
      </c>
      <c r="F24" s="27" t="s">
        <v>225</v>
      </c>
      <c r="G24" s="8" t="s">
        <v>147</v>
      </c>
      <c r="H24" s="9" t="s">
        <v>226</v>
      </c>
      <c r="I24" s="9" t="s">
        <v>227</v>
      </c>
      <c r="J24" s="8" t="s">
        <v>150</v>
      </c>
      <c r="K24" s="13"/>
    </row>
    <row r="25" spans="1:11" ht="44.1" customHeight="1">
      <c r="A25" s="10">
        <v>21</v>
      </c>
      <c r="B25" s="11" t="s">
        <v>228</v>
      </c>
      <c r="C25" s="11" t="s">
        <v>42</v>
      </c>
      <c r="D25" s="12" t="s">
        <v>43</v>
      </c>
      <c r="E25" s="11" t="s">
        <v>31</v>
      </c>
      <c r="F25" s="26" t="s">
        <v>229</v>
      </c>
      <c r="G25" s="11" t="s">
        <v>196</v>
      </c>
      <c r="H25" s="12" t="s">
        <v>230</v>
      </c>
      <c r="I25" s="12" t="s">
        <v>231</v>
      </c>
      <c r="J25" s="11" t="s">
        <v>150</v>
      </c>
      <c r="K25" s="14" t="s">
        <v>232</v>
      </c>
    </row>
    <row r="26" spans="1:11" ht="44.1" customHeight="1">
      <c r="A26" s="7">
        <v>22</v>
      </c>
      <c r="B26" s="8" t="s">
        <v>228</v>
      </c>
      <c r="C26" s="8" t="s">
        <v>44</v>
      </c>
      <c r="D26" s="9" t="s">
        <v>43</v>
      </c>
      <c r="E26" s="8" t="s">
        <v>31</v>
      </c>
      <c r="F26" s="27" t="s">
        <v>233</v>
      </c>
      <c r="G26" s="8" t="s">
        <v>196</v>
      </c>
      <c r="H26" s="9" t="s">
        <v>230</v>
      </c>
      <c r="I26" s="9" t="s">
        <v>231</v>
      </c>
      <c r="J26" s="8" t="s">
        <v>150</v>
      </c>
      <c r="K26" s="13" t="s">
        <v>232</v>
      </c>
    </row>
    <row r="27" spans="1:11" ht="44.1" customHeight="1">
      <c r="A27" s="10">
        <v>23</v>
      </c>
      <c r="B27" s="11" t="s">
        <v>228</v>
      </c>
      <c r="C27" s="11" t="s">
        <v>45</v>
      </c>
      <c r="D27" s="12" t="s">
        <v>43</v>
      </c>
      <c r="E27" s="11" t="s">
        <v>31</v>
      </c>
      <c r="F27" s="26" t="s">
        <v>234</v>
      </c>
      <c r="G27" s="11" t="s">
        <v>196</v>
      </c>
      <c r="H27" s="12" t="s">
        <v>230</v>
      </c>
      <c r="I27" s="12" t="s">
        <v>231</v>
      </c>
      <c r="J27" s="11" t="s">
        <v>150</v>
      </c>
      <c r="K27" s="14" t="s">
        <v>232</v>
      </c>
    </row>
    <row r="28" spans="1:11" ht="44.1" customHeight="1">
      <c r="A28" s="7">
        <v>24</v>
      </c>
      <c r="B28" s="8" t="s">
        <v>228</v>
      </c>
      <c r="C28" s="8" t="s">
        <v>46</v>
      </c>
      <c r="D28" s="9" t="s">
        <v>43</v>
      </c>
      <c r="E28" s="8" t="s">
        <v>31</v>
      </c>
      <c r="F28" s="27" t="s">
        <v>235</v>
      </c>
      <c r="G28" s="8" t="s">
        <v>196</v>
      </c>
      <c r="H28" s="9" t="s">
        <v>230</v>
      </c>
      <c r="I28" s="9" t="s">
        <v>231</v>
      </c>
      <c r="J28" s="8" t="s">
        <v>150</v>
      </c>
      <c r="K28" s="13" t="s">
        <v>232</v>
      </c>
    </row>
    <row r="29" spans="1:11" ht="44.1" customHeight="1">
      <c r="A29" s="10">
        <v>25</v>
      </c>
      <c r="B29" s="11" t="s">
        <v>228</v>
      </c>
      <c r="C29" s="11" t="s">
        <v>47</v>
      </c>
      <c r="D29" s="12" t="s">
        <v>48</v>
      </c>
      <c r="E29" s="11" t="s">
        <v>49</v>
      </c>
      <c r="F29" s="26" t="s">
        <v>236</v>
      </c>
      <c r="G29" s="11" t="s">
        <v>147</v>
      </c>
      <c r="H29" s="12" t="s">
        <v>237</v>
      </c>
      <c r="I29" s="12" t="s">
        <v>238</v>
      </c>
      <c r="J29" s="11" t="s">
        <v>150</v>
      </c>
      <c r="K29" s="14" t="s">
        <v>239</v>
      </c>
    </row>
    <row r="30" spans="1:11" ht="44.1" customHeight="1">
      <c r="A30" s="7">
        <v>26</v>
      </c>
      <c r="B30" s="8" t="s">
        <v>228</v>
      </c>
      <c r="C30" s="8" t="s">
        <v>50</v>
      </c>
      <c r="D30" s="9" t="s">
        <v>51</v>
      </c>
      <c r="E30" s="8" t="s">
        <v>49</v>
      </c>
      <c r="F30" s="27" t="s">
        <v>240</v>
      </c>
      <c r="G30" s="8" t="s">
        <v>147</v>
      </c>
      <c r="H30" s="9" t="s">
        <v>237</v>
      </c>
      <c r="I30" s="9" t="s">
        <v>238</v>
      </c>
      <c r="J30" s="8" t="s">
        <v>150</v>
      </c>
      <c r="K30" s="13" t="s">
        <v>239</v>
      </c>
    </row>
    <row r="31" spans="1:11" ht="44.1" customHeight="1">
      <c r="A31" s="10">
        <v>27</v>
      </c>
      <c r="B31" s="11" t="s">
        <v>228</v>
      </c>
      <c r="C31" s="11" t="s">
        <v>52</v>
      </c>
      <c r="D31" s="12" t="s">
        <v>43</v>
      </c>
      <c r="E31" s="11" t="s">
        <v>31</v>
      </c>
      <c r="F31" s="26" t="s">
        <v>241</v>
      </c>
      <c r="G31" s="11" t="s">
        <v>196</v>
      </c>
      <c r="H31" s="12" t="s">
        <v>230</v>
      </c>
      <c r="I31" s="12" t="s">
        <v>231</v>
      </c>
      <c r="J31" s="11" t="s">
        <v>150</v>
      </c>
      <c r="K31" s="14" t="s">
        <v>232</v>
      </c>
    </row>
    <row r="32" spans="1:11" ht="44.1" customHeight="1">
      <c r="A32" s="7">
        <v>28</v>
      </c>
      <c r="B32" s="8" t="s">
        <v>228</v>
      </c>
      <c r="C32" s="8" t="s">
        <v>53</v>
      </c>
      <c r="D32" s="9" t="s">
        <v>19</v>
      </c>
      <c r="E32" s="8" t="s">
        <v>49</v>
      </c>
      <c r="F32" s="27" t="s">
        <v>242</v>
      </c>
      <c r="G32" s="8" t="s">
        <v>147</v>
      </c>
      <c r="H32" s="9" t="s">
        <v>237</v>
      </c>
      <c r="I32" s="9" t="s">
        <v>238</v>
      </c>
      <c r="J32" s="8" t="s">
        <v>150</v>
      </c>
      <c r="K32" s="13" t="s">
        <v>239</v>
      </c>
    </row>
    <row r="33" spans="1:11" ht="44.1" customHeight="1">
      <c r="A33" s="10">
        <v>29</v>
      </c>
      <c r="B33" s="11" t="s">
        <v>228</v>
      </c>
      <c r="C33" s="11" t="s">
        <v>54</v>
      </c>
      <c r="D33" s="12" t="s">
        <v>43</v>
      </c>
      <c r="E33" s="11" t="s">
        <v>31</v>
      </c>
      <c r="F33" s="26" t="s">
        <v>243</v>
      </c>
      <c r="G33" s="11" t="s">
        <v>196</v>
      </c>
      <c r="H33" s="12" t="s">
        <v>230</v>
      </c>
      <c r="I33" s="12" t="s">
        <v>231</v>
      </c>
      <c r="J33" s="11" t="s">
        <v>150</v>
      </c>
      <c r="K33" s="14" t="s">
        <v>232</v>
      </c>
    </row>
    <row r="34" spans="1:11" ht="44.1" customHeight="1">
      <c r="A34" s="7">
        <v>30</v>
      </c>
      <c r="B34" s="8" t="s">
        <v>228</v>
      </c>
      <c r="C34" s="8" t="s">
        <v>55</v>
      </c>
      <c r="D34" s="9" t="s">
        <v>43</v>
      </c>
      <c r="E34" s="8" t="s">
        <v>31</v>
      </c>
      <c r="F34" s="27" t="s">
        <v>244</v>
      </c>
      <c r="G34" s="8" t="s">
        <v>196</v>
      </c>
      <c r="H34" s="9" t="s">
        <v>230</v>
      </c>
      <c r="I34" s="9" t="s">
        <v>231</v>
      </c>
      <c r="J34" s="8" t="s">
        <v>150</v>
      </c>
      <c r="K34" s="13" t="s">
        <v>232</v>
      </c>
    </row>
    <row r="35" spans="1:11" ht="44.1" customHeight="1">
      <c r="A35" s="10">
        <v>31</v>
      </c>
      <c r="B35" s="11" t="s">
        <v>228</v>
      </c>
      <c r="C35" s="11" t="s">
        <v>56</v>
      </c>
      <c r="D35" s="12" t="s">
        <v>43</v>
      </c>
      <c r="E35" s="11" t="s">
        <v>31</v>
      </c>
      <c r="F35" s="26" t="s">
        <v>245</v>
      </c>
      <c r="G35" s="11" t="s">
        <v>196</v>
      </c>
      <c r="H35" s="12" t="s">
        <v>230</v>
      </c>
      <c r="I35" s="12" t="s">
        <v>231</v>
      </c>
      <c r="J35" s="11" t="s">
        <v>150</v>
      </c>
      <c r="K35" s="14" t="s">
        <v>232</v>
      </c>
    </row>
    <row r="36" spans="1:11" ht="44.1" customHeight="1">
      <c r="A36" s="7">
        <v>32</v>
      </c>
      <c r="B36" s="8" t="s">
        <v>228</v>
      </c>
      <c r="C36" s="8" t="s">
        <v>57</v>
      </c>
      <c r="D36" s="9" t="s">
        <v>43</v>
      </c>
      <c r="E36" s="8" t="s">
        <v>31</v>
      </c>
      <c r="F36" s="27" t="s">
        <v>246</v>
      </c>
      <c r="G36" s="8" t="s">
        <v>196</v>
      </c>
      <c r="H36" s="9" t="s">
        <v>230</v>
      </c>
      <c r="I36" s="9" t="s">
        <v>231</v>
      </c>
      <c r="J36" s="8" t="s">
        <v>150</v>
      </c>
      <c r="K36" s="13" t="s">
        <v>232</v>
      </c>
    </row>
    <row r="37" spans="1:11" ht="44.1" customHeight="1">
      <c r="A37" s="10">
        <v>33</v>
      </c>
      <c r="B37" s="11" t="s">
        <v>228</v>
      </c>
      <c r="C37" s="11" t="s">
        <v>58</v>
      </c>
      <c r="D37" s="12" t="s">
        <v>21</v>
      </c>
      <c r="E37" s="11" t="s">
        <v>49</v>
      </c>
      <c r="F37" s="26" t="s">
        <v>247</v>
      </c>
      <c r="G37" s="11" t="s">
        <v>147</v>
      </c>
      <c r="H37" s="12" t="s">
        <v>237</v>
      </c>
      <c r="I37" s="12" t="s">
        <v>238</v>
      </c>
      <c r="J37" s="11" t="s">
        <v>150</v>
      </c>
      <c r="K37" s="14" t="s">
        <v>239</v>
      </c>
    </row>
    <row r="38" spans="1:11" ht="44.1" customHeight="1">
      <c r="A38" s="7">
        <v>34</v>
      </c>
      <c r="B38" s="8" t="s">
        <v>228</v>
      </c>
      <c r="C38" s="8" t="s">
        <v>59</v>
      </c>
      <c r="D38" s="9" t="s">
        <v>43</v>
      </c>
      <c r="E38" s="8" t="s">
        <v>31</v>
      </c>
      <c r="F38" s="28" t="s">
        <v>248</v>
      </c>
      <c r="G38" s="8" t="s">
        <v>196</v>
      </c>
      <c r="H38" s="9" t="s">
        <v>230</v>
      </c>
      <c r="I38" s="9" t="s">
        <v>231</v>
      </c>
      <c r="J38" s="8" t="s">
        <v>150</v>
      </c>
      <c r="K38" s="13" t="s">
        <v>232</v>
      </c>
    </row>
    <row r="39" spans="1:11" ht="44.1" customHeight="1">
      <c r="A39" s="10">
        <v>35</v>
      </c>
      <c r="B39" s="11" t="s">
        <v>228</v>
      </c>
      <c r="C39" s="11" t="s">
        <v>60</v>
      </c>
      <c r="D39" s="12" t="s">
        <v>43</v>
      </c>
      <c r="E39" s="11" t="s">
        <v>31</v>
      </c>
      <c r="F39" s="29" t="s">
        <v>249</v>
      </c>
      <c r="G39" s="11" t="s">
        <v>196</v>
      </c>
      <c r="H39" s="12" t="s">
        <v>230</v>
      </c>
      <c r="I39" s="12" t="s">
        <v>231</v>
      </c>
      <c r="J39" s="11" t="s">
        <v>150</v>
      </c>
      <c r="K39" s="14" t="s">
        <v>232</v>
      </c>
    </row>
    <row r="40" spans="1:11" ht="44.1" customHeight="1">
      <c r="A40" s="7">
        <v>36</v>
      </c>
      <c r="B40" s="8" t="s">
        <v>228</v>
      </c>
      <c r="C40" s="8" t="s">
        <v>61</v>
      </c>
      <c r="D40" s="9" t="s">
        <v>43</v>
      </c>
      <c r="E40" s="8" t="s">
        <v>31</v>
      </c>
      <c r="F40" s="28" t="s">
        <v>250</v>
      </c>
      <c r="G40" s="8" t="s">
        <v>196</v>
      </c>
      <c r="H40" s="9" t="s">
        <v>230</v>
      </c>
      <c r="I40" s="9" t="s">
        <v>231</v>
      </c>
      <c r="J40" s="8" t="s">
        <v>150</v>
      </c>
      <c r="K40" s="13" t="s">
        <v>232</v>
      </c>
    </row>
    <row r="41" spans="1:11" ht="44.1" customHeight="1">
      <c r="A41" s="10">
        <v>37</v>
      </c>
      <c r="B41" s="11" t="s">
        <v>228</v>
      </c>
      <c r="C41" s="11" t="s">
        <v>62</v>
      </c>
      <c r="D41" s="12" t="s">
        <v>63</v>
      </c>
      <c r="E41" s="11" t="s">
        <v>49</v>
      </c>
      <c r="F41" s="29" t="s">
        <v>251</v>
      </c>
      <c r="G41" s="11" t="s">
        <v>147</v>
      </c>
      <c r="H41" s="12" t="s">
        <v>237</v>
      </c>
      <c r="I41" s="12" t="s">
        <v>238</v>
      </c>
      <c r="J41" s="11" t="s">
        <v>150</v>
      </c>
      <c r="K41" s="14" t="s">
        <v>239</v>
      </c>
    </row>
    <row r="42" spans="1:11" ht="44.1" customHeight="1">
      <c r="A42" s="7">
        <v>38</v>
      </c>
      <c r="B42" s="8" t="s">
        <v>228</v>
      </c>
      <c r="C42" s="8" t="s">
        <v>64</v>
      </c>
      <c r="D42" s="9" t="s">
        <v>43</v>
      </c>
      <c r="E42" s="8" t="s">
        <v>31</v>
      </c>
      <c r="F42" s="28" t="s">
        <v>252</v>
      </c>
      <c r="G42" s="8" t="s">
        <v>196</v>
      </c>
      <c r="H42" s="9" t="s">
        <v>230</v>
      </c>
      <c r="I42" s="9" t="s">
        <v>231</v>
      </c>
      <c r="J42" s="8" t="s">
        <v>150</v>
      </c>
      <c r="K42" s="13" t="s">
        <v>232</v>
      </c>
    </row>
    <row r="43" spans="1:11" ht="44.1" customHeight="1">
      <c r="A43" s="10">
        <v>39</v>
      </c>
      <c r="B43" s="11" t="s">
        <v>228</v>
      </c>
      <c r="C43" s="11" t="s">
        <v>65</v>
      </c>
      <c r="D43" s="12" t="s">
        <v>21</v>
      </c>
      <c r="E43" s="11" t="s">
        <v>49</v>
      </c>
      <c r="F43" s="29" t="s">
        <v>253</v>
      </c>
      <c r="G43" s="11" t="s">
        <v>147</v>
      </c>
      <c r="H43" s="12" t="s">
        <v>237</v>
      </c>
      <c r="I43" s="12" t="s">
        <v>238</v>
      </c>
      <c r="J43" s="11" t="s">
        <v>150</v>
      </c>
      <c r="K43" s="14" t="s">
        <v>239</v>
      </c>
    </row>
    <row r="44" spans="1:11" ht="44.1" customHeight="1">
      <c r="A44" s="7">
        <v>40</v>
      </c>
      <c r="B44" s="8" t="s">
        <v>228</v>
      </c>
      <c r="C44" s="8" t="s">
        <v>66</v>
      </c>
      <c r="D44" s="9" t="s">
        <v>19</v>
      </c>
      <c r="E44" s="8" t="s">
        <v>49</v>
      </c>
      <c r="F44" s="28" t="s">
        <v>254</v>
      </c>
      <c r="G44" s="8" t="s">
        <v>147</v>
      </c>
      <c r="H44" s="9" t="s">
        <v>237</v>
      </c>
      <c r="I44" s="9" t="s">
        <v>238</v>
      </c>
      <c r="J44" s="8" t="s">
        <v>150</v>
      </c>
      <c r="K44" s="13" t="s">
        <v>239</v>
      </c>
    </row>
    <row r="45" spans="1:11" ht="44.1" customHeight="1">
      <c r="A45" s="10">
        <v>41</v>
      </c>
      <c r="B45" s="11" t="s">
        <v>228</v>
      </c>
      <c r="C45" s="11" t="s">
        <v>67</v>
      </c>
      <c r="D45" s="12" t="s">
        <v>43</v>
      </c>
      <c r="E45" s="11" t="s">
        <v>31</v>
      </c>
      <c r="F45" s="29" t="s">
        <v>255</v>
      </c>
      <c r="G45" s="11" t="s">
        <v>196</v>
      </c>
      <c r="H45" s="12" t="s">
        <v>230</v>
      </c>
      <c r="I45" s="12" t="s">
        <v>231</v>
      </c>
      <c r="J45" s="11" t="s">
        <v>150</v>
      </c>
      <c r="K45" s="14" t="s">
        <v>232</v>
      </c>
    </row>
    <row r="46" spans="1:11" ht="44.1" customHeight="1">
      <c r="A46" s="7">
        <v>42</v>
      </c>
      <c r="B46" s="8" t="s">
        <v>228</v>
      </c>
      <c r="C46" s="8" t="s">
        <v>68</v>
      </c>
      <c r="D46" s="9" t="s">
        <v>69</v>
      </c>
      <c r="E46" s="8" t="s">
        <v>49</v>
      </c>
      <c r="F46" s="28" t="s">
        <v>256</v>
      </c>
      <c r="G46" s="8" t="s">
        <v>157</v>
      </c>
      <c r="H46" s="9" t="s">
        <v>237</v>
      </c>
      <c r="I46" s="9" t="s">
        <v>238</v>
      </c>
      <c r="J46" s="8" t="s">
        <v>150</v>
      </c>
      <c r="K46" s="13" t="s">
        <v>257</v>
      </c>
    </row>
    <row r="47" spans="1:11" ht="44.1" customHeight="1">
      <c r="A47" s="10">
        <v>43</v>
      </c>
      <c r="B47" s="11" t="s">
        <v>228</v>
      </c>
      <c r="C47" s="11" t="s">
        <v>70</v>
      </c>
      <c r="D47" s="12" t="s">
        <v>71</v>
      </c>
      <c r="E47" s="11" t="s">
        <v>49</v>
      </c>
      <c r="F47" s="29" t="s">
        <v>258</v>
      </c>
      <c r="G47" s="11" t="s">
        <v>157</v>
      </c>
      <c r="H47" s="12" t="s">
        <v>237</v>
      </c>
      <c r="I47" s="12" t="s">
        <v>238</v>
      </c>
      <c r="J47" s="11" t="s">
        <v>150</v>
      </c>
      <c r="K47" s="14" t="s">
        <v>257</v>
      </c>
    </row>
    <row r="48" spans="1:11" ht="44.1" customHeight="1">
      <c r="A48" s="7">
        <v>44</v>
      </c>
      <c r="B48" s="8" t="s">
        <v>228</v>
      </c>
      <c r="C48" s="8" t="s">
        <v>72</v>
      </c>
      <c r="D48" s="9" t="s">
        <v>43</v>
      </c>
      <c r="E48" s="8" t="s">
        <v>31</v>
      </c>
      <c r="F48" s="28" t="s">
        <v>259</v>
      </c>
      <c r="G48" s="8" t="s">
        <v>196</v>
      </c>
      <c r="H48" s="9" t="s">
        <v>230</v>
      </c>
      <c r="I48" s="9" t="s">
        <v>231</v>
      </c>
      <c r="J48" s="8" t="s">
        <v>150</v>
      </c>
      <c r="K48" s="13" t="s">
        <v>232</v>
      </c>
    </row>
    <row r="49" spans="1:11" ht="44.1" customHeight="1">
      <c r="A49" s="10">
        <v>45</v>
      </c>
      <c r="B49" s="11" t="s">
        <v>228</v>
      </c>
      <c r="C49" s="11" t="s">
        <v>73</v>
      </c>
      <c r="D49" s="12" t="s">
        <v>43</v>
      </c>
      <c r="E49" s="11" t="s">
        <v>31</v>
      </c>
      <c r="F49" s="29" t="s">
        <v>260</v>
      </c>
      <c r="G49" s="11" t="s">
        <v>196</v>
      </c>
      <c r="H49" s="12" t="s">
        <v>230</v>
      </c>
      <c r="I49" s="12" t="s">
        <v>231</v>
      </c>
      <c r="J49" s="11" t="s">
        <v>150</v>
      </c>
      <c r="K49" s="14" t="s">
        <v>232</v>
      </c>
    </row>
    <row r="50" spans="1:11" ht="44.1" customHeight="1">
      <c r="A50" s="7">
        <v>46</v>
      </c>
      <c r="B50" s="8" t="s">
        <v>261</v>
      </c>
      <c r="C50" s="8" t="s">
        <v>74</v>
      </c>
      <c r="D50" s="9" t="s">
        <v>75</v>
      </c>
      <c r="E50" s="8" t="s">
        <v>9</v>
      </c>
      <c r="F50" s="28" t="s">
        <v>262</v>
      </c>
      <c r="G50" s="8" t="s">
        <v>157</v>
      </c>
      <c r="H50" s="9" t="s">
        <v>263</v>
      </c>
      <c r="I50" s="9" t="s">
        <v>264</v>
      </c>
      <c r="J50" s="8" t="s">
        <v>265</v>
      </c>
      <c r="K50" s="13"/>
    </row>
    <row r="51" spans="1:11" ht="44.1" customHeight="1">
      <c r="A51" s="10">
        <v>47</v>
      </c>
      <c r="B51" s="11" t="s">
        <v>261</v>
      </c>
      <c r="C51" s="11" t="s">
        <v>76</v>
      </c>
      <c r="D51" s="12" t="s">
        <v>77</v>
      </c>
      <c r="E51" s="11" t="s">
        <v>9</v>
      </c>
      <c r="F51" s="29" t="s">
        <v>266</v>
      </c>
      <c r="G51" s="11" t="s">
        <v>147</v>
      </c>
      <c r="H51" s="12" t="s">
        <v>267</v>
      </c>
      <c r="I51" s="12" t="s">
        <v>268</v>
      </c>
      <c r="J51" s="11" t="s">
        <v>265</v>
      </c>
      <c r="K51" s="14" t="s">
        <v>269</v>
      </c>
    </row>
    <row r="52" spans="1:11" ht="44.1" customHeight="1">
      <c r="A52" s="7">
        <v>48</v>
      </c>
      <c r="B52" s="8" t="s">
        <v>261</v>
      </c>
      <c r="C52" s="8" t="s">
        <v>78</v>
      </c>
      <c r="D52" s="9" t="s">
        <v>79</v>
      </c>
      <c r="E52" s="8" t="s">
        <v>80</v>
      </c>
      <c r="F52" s="28" t="s">
        <v>270</v>
      </c>
      <c r="G52" s="8" t="s">
        <v>196</v>
      </c>
      <c r="H52" s="9" t="s">
        <v>271</v>
      </c>
      <c r="I52" s="9" t="s">
        <v>272</v>
      </c>
      <c r="J52" s="8" t="s">
        <v>265</v>
      </c>
      <c r="K52" s="13" t="s">
        <v>273</v>
      </c>
    </row>
    <row r="53" spans="1:11" ht="44.1" customHeight="1">
      <c r="A53" s="10">
        <v>49</v>
      </c>
      <c r="B53" s="11" t="s">
        <v>261</v>
      </c>
      <c r="C53" s="11" t="s">
        <v>81</v>
      </c>
      <c r="D53" s="12" t="s">
        <v>82</v>
      </c>
      <c r="E53" s="11" t="s">
        <v>9</v>
      </c>
      <c r="F53" s="29" t="s">
        <v>274</v>
      </c>
      <c r="G53" s="11" t="s">
        <v>147</v>
      </c>
      <c r="H53" s="12" t="s">
        <v>275</v>
      </c>
      <c r="I53" s="12" t="s">
        <v>276</v>
      </c>
      <c r="J53" s="11" t="s">
        <v>265</v>
      </c>
      <c r="K53" s="14"/>
    </row>
    <row r="54" spans="1:11" ht="44.1" customHeight="1">
      <c r="A54" s="7">
        <v>50</v>
      </c>
      <c r="B54" s="8" t="s">
        <v>261</v>
      </c>
      <c r="C54" s="8" t="s">
        <v>83</v>
      </c>
      <c r="D54" s="9" t="s">
        <v>84</v>
      </c>
      <c r="E54" s="8" t="s">
        <v>9</v>
      </c>
      <c r="F54" s="28" t="s">
        <v>277</v>
      </c>
      <c r="G54" s="8" t="s">
        <v>147</v>
      </c>
      <c r="H54" s="9" t="s">
        <v>278</v>
      </c>
      <c r="I54" s="9" t="s">
        <v>279</v>
      </c>
      <c r="J54" s="8" t="s">
        <v>265</v>
      </c>
      <c r="K54" s="13" t="s">
        <v>280</v>
      </c>
    </row>
    <row r="55" spans="1:11" ht="44.1" customHeight="1">
      <c r="A55" s="10">
        <v>51</v>
      </c>
      <c r="B55" s="11" t="s">
        <v>261</v>
      </c>
      <c r="C55" s="11" t="s">
        <v>85</v>
      </c>
      <c r="D55" s="12" t="s">
        <v>86</v>
      </c>
      <c r="E55" s="11" t="s">
        <v>87</v>
      </c>
      <c r="F55" s="29" t="s">
        <v>281</v>
      </c>
      <c r="G55" s="11" t="s">
        <v>157</v>
      </c>
      <c r="H55" s="12" t="s">
        <v>282</v>
      </c>
      <c r="I55" s="12" t="s">
        <v>283</v>
      </c>
      <c r="J55" s="11" t="s">
        <v>265</v>
      </c>
      <c r="K55" s="14" t="s">
        <v>284</v>
      </c>
    </row>
    <row r="56" spans="1:11" ht="44.1" customHeight="1">
      <c r="A56" s="7">
        <v>52</v>
      </c>
      <c r="B56" s="8" t="s">
        <v>261</v>
      </c>
      <c r="C56" s="8" t="s">
        <v>88</v>
      </c>
      <c r="D56" s="9" t="s">
        <v>89</v>
      </c>
      <c r="E56" s="8" t="s">
        <v>87</v>
      </c>
      <c r="F56" s="28" t="s">
        <v>285</v>
      </c>
      <c r="G56" s="8" t="s">
        <v>157</v>
      </c>
      <c r="H56" s="9" t="s">
        <v>286</v>
      </c>
      <c r="I56" s="9" t="s">
        <v>287</v>
      </c>
      <c r="J56" s="8" t="s">
        <v>265</v>
      </c>
      <c r="K56" s="13"/>
    </row>
    <row r="57" spans="1:11" ht="44.1" customHeight="1">
      <c r="A57" s="10">
        <v>53</v>
      </c>
      <c r="B57" s="11" t="s">
        <v>261</v>
      </c>
      <c r="C57" s="11" t="s">
        <v>90</v>
      </c>
      <c r="D57" s="12" t="s">
        <v>91</v>
      </c>
      <c r="E57" s="11" t="s">
        <v>92</v>
      </c>
      <c r="F57" s="29" t="s">
        <v>288</v>
      </c>
      <c r="G57" s="11" t="s">
        <v>157</v>
      </c>
      <c r="H57" s="12" t="s">
        <v>289</v>
      </c>
      <c r="I57" s="12" t="s">
        <v>290</v>
      </c>
      <c r="J57" s="11" t="s">
        <v>265</v>
      </c>
      <c r="K57" s="14"/>
    </row>
    <row r="58" spans="1:11" ht="44.1" customHeight="1">
      <c r="A58" s="7">
        <v>54</v>
      </c>
      <c r="B58" s="8" t="s">
        <v>261</v>
      </c>
      <c r="C58" s="8" t="s">
        <v>93</v>
      </c>
      <c r="D58" s="9" t="s">
        <v>79</v>
      </c>
      <c r="E58" s="8" t="s">
        <v>80</v>
      </c>
      <c r="F58" s="28" t="s">
        <v>291</v>
      </c>
      <c r="G58" s="8" t="s">
        <v>196</v>
      </c>
      <c r="H58" s="9" t="s">
        <v>292</v>
      </c>
      <c r="I58" s="9" t="s">
        <v>293</v>
      </c>
      <c r="J58" s="8" t="s">
        <v>265</v>
      </c>
      <c r="K58" s="13" t="s">
        <v>273</v>
      </c>
    </row>
    <row r="59" spans="1:11" ht="44.1" customHeight="1">
      <c r="A59" s="10">
        <v>55</v>
      </c>
      <c r="B59" s="11" t="s">
        <v>261</v>
      </c>
      <c r="C59" s="11" t="s">
        <v>94</v>
      </c>
      <c r="D59" s="12" t="s">
        <v>95</v>
      </c>
      <c r="E59" s="11" t="s">
        <v>9</v>
      </c>
      <c r="F59" s="29" t="s">
        <v>294</v>
      </c>
      <c r="G59" s="11" t="s">
        <v>147</v>
      </c>
      <c r="H59" s="12" t="s">
        <v>295</v>
      </c>
      <c r="I59" s="12" t="s">
        <v>296</v>
      </c>
      <c r="J59" s="11" t="s">
        <v>265</v>
      </c>
      <c r="K59" s="14"/>
    </row>
    <row r="60" spans="1:11" ht="44.1" customHeight="1">
      <c r="A60" s="7">
        <v>56</v>
      </c>
      <c r="B60" s="8" t="s">
        <v>261</v>
      </c>
      <c r="C60" s="8" t="s">
        <v>96</v>
      </c>
      <c r="D60" s="9" t="s">
        <v>97</v>
      </c>
      <c r="E60" s="8" t="s">
        <v>98</v>
      </c>
      <c r="F60" s="28" t="s">
        <v>297</v>
      </c>
      <c r="G60" s="8" t="s">
        <v>157</v>
      </c>
      <c r="H60" s="9" t="s">
        <v>298</v>
      </c>
      <c r="I60" s="9" t="s">
        <v>299</v>
      </c>
      <c r="J60" s="8" t="s">
        <v>265</v>
      </c>
      <c r="K60" s="13" t="s">
        <v>300</v>
      </c>
    </row>
    <row r="61" spans="1:11" ht="44.1" customHeight="1">
      <c r="A61" s="10">
        <v>57</v>
      </c>
      <c r="B61" s="11" t="s">
        <v>261</v>
      </c>
      <c r="C61" s="11" t="s">
        <v>99</v>
      </c>
      <c r="D61" s="12" t="s">
        <v>100</v>
      </c>
      <c r="E61" s="11" t="s">
        <v>9</v>
      </c>
      <c r="F61" s="29" t="s">
        <v>301</v>
      </c>
      <c r="G61" s="11" t="s">
        <v>147</v>
      </c>
      <c r="H61" s="12" t="s">
        <v>302</v>
      </c>
      <c r="I61" s="12" t="s">
        <v>303</v>
      </c>
      <c r="J61" s="11" t="s">
        <v>265</v>
      </c>
      <c r="K61" s="14" t="s">
        <v>304</v>
      </c>
    </row>
    <row r="62" spans="1:11" ht="44.1" customHeight="1">
      <c r="A62" s="7">
        <v>58</v>
      </c>
      <c r="B62" s="8" t="s">
        <v>261</v>
      </c>
      <c r="C62" s="8" t="s">
        <v>101</v>
      </c>
      <c r="D62" s="9" t="s">
        <v>82</v>
      </c>
      <c r="E62" s="8" t="s">
        <v>9</v>
      </c>
      <c r="F62" s="28" t="s">
        <v>305</v>
      </c>
      <c r="G62" s="8" t="s">
        <v>147</v>
      </c>
      <c r="H62" s="9" t="s">
        <v>306</v>
      </c>
      <c r="I62" s="9" t="s">
        <v>307</v>
      </c>
      <c r="J62" s="8" t="s">
        <v>265</v>
      </c>
      <c r="K62" s="13"/>
    </row>
    <row r="63" spans="1:11" ht="44.1" customHeight="1">
      <c r="A63" s="10">
        <v>59</v>
      </c>
      <c r="B63" s="11" t="s">
        <v>261</v>
      </c>
      <c r="C63" s="11" t="s">
        <v>102</v>
      </c>
      <c r="D63" s="12" t="s">
        <v>103</v>
      </c>
      <c r="E63" s="11" t="s">
        <v>104</v>
      </c>
      <c r="F63" s="29" t="s">
        <v>308</v>
      </c>
      <c r="G63" s="11" t="s">
        <v>196</v>
      </c>
      <c r="H63" s="12" t="s">
        <v>309</v>
      </c>
      <c r="I63" s="12" t="s">
        <v>310</v>
      </c>
      <c r="J63" s="11" t="s">
        <v>265</v>
      </c>
      <c r="K63" s="14" t="s">
        <v>273</v>
      </c>
    </row>
    <row r="64" spans="1:11" ht="44.1" customHeight="1">
      <c r="A64" s="7">
        <v>60</v>
      </c>
      <c r="B64" s="8" t="s">
        <v>261</v>
      </c>
      <c r="C64" s="8" t="s">
        <v>105</v>
      </c>
      <c r="D64" s="9" t="s">
        <v>106</v>
      </c>
      <c r="E64" s="8" t="s">
        <v>9</v>
      </c>
      <c r="F64" s="28" t="s">
        <v>311</v>
      </c>
      <c r="G64" s="8" t="s">
        <v>147</v>
      </c>
      <c r="H64" s="9" t="s">
        <v>312</v>
      </c>
      <c r="I64" s="9" t="s">
        <v>313</v>
      </c>
      <c r="J64" s="8" t="s">
        <v>265</v>
      </c>
      <c r="K64" s="13"/>
    </row>
    <row r="65" spans="1:11" ht="44.1" customHeight="1">
      <c r="A65" s="10">
        <v>61</v>
      </c>
      <c r="B65" s="11" t="s">
        <v>261</v>
      </c>
      <c r="C65" s="11" t="s">
        <v>107</v>
      </c>
      <c r="D65" s="12" t="s">
        <v>108</v>
      </c>
      <c r="E65" s="11" t="s">
        <v>9</v>
      </c>
      <c r="F65" s="29" t="s">
        <v>314</v>
      </c>
      <c r="G65" s="11" t="s">
        <v>147</v>
      </c>
      <c r="H65" s="12" t="s">
        <v>315</v>
      </c>
      <c r="I65" s="12" t="s">
        <v>316</v>
      </c>
      <c r="J65" s="11" t="s">
        <v>265</v>
      </c>
      <c r="K65" s="14" t="s">
        <v>317</v>
      </c>
    </row>
    <row r="66" spans="1:11" ht="44.1" customHeight="1">
      <c r="A66" s="7">
        <v>62</v>
      </c>
      <c r="B66" s="8" t="s">
        <v>261</v>
      </c>
      <c r="C66" s="8" t="s">
        <v>109</v>
      </c>
      <c r="D66" s="9" t="s">
        <v>110</v>
      </c>
      <c r="E66" s="8" t="s">
        <v>9</v>
      </c>
      <c r="F66" s="28" t="s">
        <v>318</v>
      </c>
      <c r="G66" s="8" t="s">
        <v>147</v>
      </c>
      <c r="H66" s="9" t="s">
        <v>319</v>
      </c>
      <c r="I66" s="9" t="s">
        <v>320</v>
      </c>
      <c r="J66" s="8" t="s">
        <v>265</v>
      </c>
      <c r="K66" s="13"/>
    </row>
    <row r="67" spans="1:11" ht="44.1" customHeight="1">
      <c r="A67" s="10">
        <v>63</v>
      </c>
      <c r="B67" s="11" t="s">
        <v>261</v>
      </c>
      <c r="C67" s="11" t="s">
        <v>111</v>
      </c>
      <c r="D67" s="12" t="s">
        <v>112</v>
      </c>
      <c r="E67" s="11" t="s">
        <v>87</v>
      </c>
      <c r="F67" s="29" t="s">
        <v>321</v>
      </c>
      <c r="G67" s="11" t="s">
        <v>147</v>
      </c>
      <c r="H67" s="12" t="s">
        <v>322</v>
      </c>
      <c r="I67" s="12" t="s">
        <v>323</v>
      </c>
      <c r="J67" s="11" t="s">
        <v>265</v>
      </c>
      <c r="K67" s="14" t="s">
        <v>324</v>
      </c>
    </row>
    <row r="68" spans="1:11" ht="44.1" customHeight="1">
      <c r="A68" s="7">
        <v>64</v>
      </c>
      <c r="B68" s="8" t="s">
        <v>261</v>
      </c>
      <c r="C68" s="8" t="s">
        <v>113</v>
      </c>
      <c r="D68" s="9" t="s">
        <v>114</v>
      </c>
      <c r="E68" s="8" t="s">
        <v>9</v>
      </c>
      <c r="F68" s="28" t="s">
        <v>325</v>
      </c>
      <c r="G68" s="8" t="s">
        <v>157</v>
      </c>
      <c r="H68" s="9" t="s">
        <v>326</v>
      </c>
      <c r="I68" s="9" t="s">
        <v>327</v>
      </c>
      <c r="J68" s="8" t="s">
        <v>265</v>
      </c>
      <c r="K68" s="13"/>
    </row>
    <row r="69" spans="1:11" ht="44.1" customHeight="1">
      <c r="A69" s="10">
        <v>65</v>
      </c>
      <c r="B69" s="11" t="s">
        <v>261</v>
      </c>
      <c r="C69" s="11" t="s">
        <v>115</v>
      </c>
      <c r="D69" s="12" t="s">
        <v>79</v>
      </c>
      <c r="E69" s="11" t="s">
        <v>80</v>
      </c>
      <c r="F69" s="29" t="s">
        <v>328</v>
      </c>
      <c r="G69" s="11" t="s">
        <v>196</v>
      </c>
      <c r="H69" s="12" t="s">
        <v>329</v>
      </c>
      <c r="I69" s="12" t="s">
        <v>330</v>
      </c>
      <c r="J69" s="11" t="s">
        <v>265</v>
      </c>
      <c r="K69" s="14" t="s">
        <v>273</v>
      </c>
    </row>
    <row r="70" spans="1:11" ht="44.1" customHeight="1">
      <c r="A70" s="7">
        <v>66</v>
      </c>
      <c r="B70" s="8" t="s">
        <v>261</v>
      </c>
      <c r="C70" s="8" t="s">
        <v>116</v>
      </c>
      <c r="D70" s="9" t="s">
        <v>117</v>
      </c>
      <c r="E70" s="8" t="s">
        <v>118</v>
      </c>
      <c r="F70" s="28" t="s">
        <v>331</v>
      </c>
      <c r="G70" s="8" t="s">
        <v>157</v>
      </c>
      <c r="H70" s="9" t="s">
        <v>332</v>
      </c>
      <c r="I70" s="9" t="s">
        <v>333</v>
      </c>
      <c r="J70" s="8" t="s">
        <v>265</v>
      </c>
      <c r="K70" s="13" t="s">
        <v>334</v>
      </c>
    </row>
    <row r="71" spans="1:11" ht="44.1" customHeight="1">
      <c r="A71" s="10">
        <v>67</v>
      </c>
      <c r="B71" s="11" t="s">
        <v>261</v>
      </c>
      <c r="C71" s="11" t="s">
        <v>119</v>
      </c>
      <c r="D71" s="12" t="s">
        <v>14</v>
      </c>
      <c r="E71" s="11" t="s">
        <v>9</v>
      </c>
      <c r="F71" s="29" t="s">
        <v>335</v>
      </c>
      <c r="G71" s="11" t="s">
        <v>147</v>
      </c>
      <c r="H71" s="12" t="s">
        <v>336</v>
      </c>
      <c r="I71" s="12" t="s">
        <v>337</v>
      </c>
      <c r="J71" s="11" t="s">
        <v>265</v>
      </c>
      <c r="K71" s="14"/>
    </row>
    <row r="72" spans="1:11" ht="44.1" customHeight="1">
      <c r="A72" s="7">
        <v>68</v>
      </c>
      <c r="B72" s="8" t="s">
        <v>261</v>
      </c>
      <c r="C72" s="8" t="s">
        <v>120</v>
      </c>
      <c r="D72" s="9" t="s">
        <v>121</v>
      </c>
      <c r="E72" s="8" t="s">
        <v>9</v>
      </c>
      <c r="F72" s="28" t="s">
        <v>338</v>
      </c>
      <c r="G72" s="8" t="s">
        <v>147</v>
      </c>
      <c r="H72" s="9" t="s">
        <v>339</v>
      </c>
      <c r="I72" s="9" t="s">
        <v>340</v>
      </c>
      <c r="J72" s="8" t="s">
        <v>265</v>
      </c>
      <c r="K72" s="13"/>
    </row>
    <row r="73" spans="1:11" ht="44.1" customHeight="1">
      <c r="A73" s="10">
        <v>69</v>
      </c>
      <c r="B73" s="11" t="s">
        <v>261</v>
      </c>
      <c r="C73" s="11" t="s">
        <v>122</v>
      </c>
      <c r="D73" s="12" t="s">
        <v>123</v>
      </c>
      <c r="E73" s="11" t="s">
        <v>9</v>
      </c>
      <c r="F73" s="29" t="s">
        <v>341</v>
      </c>
      <c r="G73" s="11" t="s">
        <v>157</v>
      </c>
      <c r="H73" s="12" t="s">
        <v>342</v>
      </c>
      <c r="I73" s="12" t="s">
        <v>343</v>
      </c>
      <c r="J73" s="11" t="s">
        <v>265</v>
      </c>
      <c r="K73" s="14"/>
    </row>
    <row r="74" spans="1:11" ht="44.1" customHeight="1">
      <c r="A74" s="7">
        <v>70</v>
      </c>
      <c r="B74" s="8" t="s">
        <v>261</v>
      </c>
      <c r="C74" s="8" t="s">
        <v>124</v>
      </c>
      <c r="D74" s="9" t="s">
        <v>79</v>
      </c>
      <c r="E74" s="8" t="s">
        <v>80</v>
      </c>
      <c r="F74" s="28" t="s">
        <v>344</v>
      </c>
      <c r="G74" s="8" t="s">
        <v>196</v>
      </c>
      <c r="H74" s="9" t="s">
        <v>345</v>
      </c>
      <c r="I74" s="9" t="s">
        <v>346</v>
      </c>
      <c r="J74" s="8" t="s">
        <v>265</v>
      </c>
      <c r="K74" s="13" t="s">
        <v>347</v>
      </c>
    </row>
    <row r="75" spans="1:11" ht="44.1" customHeight="1">
      <c r="A75" s="10">
        <v>71</v>
      </c>
      <c r="B75" s="11" t="s">
        <v>348</v>
      </c>
      <c r="C75" s="11" t="s">
        <v>125</v>
      </c>
      <c r="D75" s="12" t="s">
        <v>123</v>
      </c>
      <c r="E75" s="11" t="s">
        <v>9</v>
      </c>
      <c r="F75" s="29" t="s">
        <v>349</v>
      </c>
      <c r="G75" s="11" t="s">
        <v>147</v>
      </c>
      <c r="H75" s="12" t="s">
        <v>350</v>
      </c>
      <c r="I75" s="12" t="s">
        <v>351</v>
      </c>
      <c r="J75" s="11" t="s">
        <v>265</v>
      </c>
      <c r="K75" s="14"/>
    </row>
    <row r="76" spans="1:11" ht="44.1" customHeight="1">
      <c r="A76" s="7">
        <v>72</v>
      </c>
      <c r="B76" s="8" t="s">
        <v>261</v>
      </c>
      <c r="C76" s="8" t="s">
        <v>126</v>
      </c>
      <c r="D76" s="9" t="s">
        <v>79</v>
      </c>
      <c r="E76" s="8" t="s">
        <v>80</v>
      </c>
      <c r="F76" s="28" t="s">
        <v>352</v>
      </c>
      <c r="G76" s="8" t="s">
        <v>196</v>
      </c>
      <c r="H76" s="9" t="s">
        <v>353</v>
      </c>
      <c r="I76" s="9" t="s">
        <v>354</v>
      </c>
      <c r="J76" s="8" t="s">
        <v>265</v>
      </c>
      <c r="K76" s="13" t="s">
        <v>273</v>
      </c>
    </row>
    <row r="77" spans="1:11" ht="44.1" customHeight="1">
      <c r="A77" s="10">
        <v>73</v>
      </c>
      <c r="B77" s="11" t="s">
        <v>261</v>
      </c>
      <c r="C77" s="11" t="s">
        <v>127</v>
      </c>
      <c r="D77" s="12" t="s">
        <v>79</v>
      </c>
      <c r="E77" s="11" t="s">
        <v>80</v>
      </c>
      <c r="F77" s="29" t="s">
        <v>355</v>
      </c>
      <c r="G77" s="11" t="s">
        <v>196</v>
      </c>
      <c r="H77" s="12" t="s">
        <v>353</v>
      </c>
      <c r="I77" s="12" t="s">
        <v>330</v>
      </c>
      <c r="J77" s="11" t="s">
        <v>265</v>
      </c>
      <c r="K77" s="14" t="s">
        <v>273</v>
      </c>
    </row>
    <row r="78" spans="1:11" ht="44.1" customHeight="1">
      <c r="A78" s="7">
        <v>74</v>
      </c>
      <c r="B78" s="8" t="s">
        <v>261</v>
      </c>
      <c r="C78" s="8" t="s">
        <v>128</v>
      </c>
      <c r="D78" s="9" t="s">
        <v>129</v>
      </c>
      <c r="E78" s="8" t="s">
        <v>9</v>
      </c>
      <c r="F78" s="28" t="s">
        <v>356</v>
      </c>
      <c r="G78" s="8" t="s">
        <v>147</v>
      </c>
      <c r="H78" s="9" t="s">
        <v>357</v>
      </c>
      <c r="I78" s="9" t="s">
        <v>358</v>
      </c>
      <c r="J78" s="8" t="s">
        <v>265</v>
      </c>
      <c r="K78" s="13"/>
    </row>
    <row r="79" spans="1:11" ht="44.1" customHeight="1">
      <c r="A79" s="10">
        <v>75</v>
      </c>
      <c r="B79" s="11" t="s">
        <v>348</v>
      </c>
      <c r="C79" s="11" t="s">
        <v>130</v>
      </c>
      <c r="D79" s="12" t="s">
        <v>131</v>
      </c>
      <c r="E79" s="11" t="s">
        <v>9</v>
      </c>
      <c r="F79" s="29" t="s">
        <v>359</v>
      </c>
      <c r="G79" s="11" t="s">
        <v>147</v>
      </c>
      <c r="H79" s="12" t="s">
        <v>360</v>
      </c>
      <c r="I79" s="12" t="s">
        <v>361</v>
      </c>
      <c r="J79" s="11" t="s">
        <v>265</v>
      </c>
      <c r="K79" s="14"/>
    </row>
    <row r="80" spans="1:11" ht="44.1" customHeight="1">
      <c r="A80" s="17">
        <v>76</v>
      </c>
      <c r="B80" s="18" t="s">
        <v>348</v>
      </c>
      <c r="C80" s="18" t="s">
        <v>132</v>
      </c>
      <c r="D80" s="15" t="s">
        <v>133</v>
      </c>
      <c r="E80" s="18" t="s">
        <v>9</v>
      </c>
      <c r="F80" s="30" t="s">
        <v>362</v>
      </c>
      <c r="G80" s="18" t="s">
        <v>147</v>
      </c>
      <c r="H80" s="15" t="s">
        <v>363</v>
      </c>
      <c r="I80" s="15" t="s">
        <v>364</v>
      </c>
      <c r="J80" s="18" t="s">
        <v>265</v>
      </c>
      <c r="K80" s="16"/>
    </row>
  </sheetData>
  <mergeCells count="2">
    <mergeCell ref="A1:K1"/>
    <mergeCell ref="A2:K2"/>
  </mergeCells>
  <phoneticPr fontId="11" type="noConversion"/>
  <conditionalFormatting sqref="G5:G37">
    <cfRule type="expression" dxfId="14" priority="1">
      <formula>G5="최우선"</formula>
    </cfRule>
    <cfRule type="expression" dxfId="13" priority="2">
      <formula>G5="우선"</formula>
    </cfRule>
    <cfRule type="expression" dxfId="12" priority="3">
      <formula>G5="보완"</formula>
    </cfRule>
  </conditionalFormatting>
  <hyperlinks>
    <hyperlink ref="F6" r:id="rId1"/>
    <hyperlink ref="F8" r:id="rId2"/>
  </hyperlinks>
  <pageMargins left="0.7" right="0.7" top="0.75" bottom="0.75" header="0.3" footer="0.3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E28"/>
  <sheetViews>
    <sheetView workbookViewId="0">
      <pane ySplit="4" topLeftCell="A26" activePane="bottomLeft" state="frozen"/>
      <selection pane="bottomLeft" activeCell="C17" sqref="C17"/>
    </sheetView>
  </sheetViews>
  <sheetFormatPr defaultRowHeight="14.25"/>
  <cols>
    <col min="1" max="1" width="4.875" style="37" customWidth="1"/>
    <col min="2" max="2" width="21.625" style="37" customWidth="1"/>
    <col min="3" max="3" width="53.125" style="38" customWidth="1"/>
    <col min="4" max="4" width="42.875" style="37" customWidth="1"/>
    <col min="5" max="5" width="12" style="37" customWidth="1"/>
  </cols>
  <sheetData>
    <row r="1" spans="1:5" ht="27.95" customHeight="1">
      <c r="A1" s="31" t="s">
        <v>365</v>
      </c>
      <c r="B1" s="31"/>
      <c r="C1" s="31"/>
      <c r="D1" s="31"/>
      <c r="E1" s="31"/>
    </row>
    <row r="2" spans="1:5" ht="32.1" customHeight="1">
      <c r="A2" s="32" t="s">
        <v>366</v>
      </c>
      <c r="B2" s="32"/>
      <c r="C2" s="32"/>
      <c r="D2" s="32"/>
      <c r="E2" s="32"/>
    </row>
    <row r="3" spans="1:5" ht="8.1" customHeight="1"/>
    <row r="4" spans="1:5" ht="27.95" customHeight="1">
      <c r="A4" s="1" t="s">
        <v>367</v>
      </c>
      <c r="B4" s="2" t="s">
        <v>368</v>
      </c>
      <c r="C4" s="39" t="s">
        <v>369</v>
      </c>
      <c r="D4" s="2" t="s">
        <v>370</v>
      </c>
      <c r="E4" s="3" t="s">
        <v>6</v>
      </c>
    </row>
    <row r="5" spans="1:5" ht="42" customHeight="1">
      <c r="A5" s="4">
        <v>1</v>
      </c>
      <c r="B5" s="5" t="s">
        <v>7</v>
      </c>
      <c r="C5" s="40" t="s">
        <v>371</v>
      </c>
      <c r="D5" s="5" t="s">
        <v>372</v>
      </c>
      <c r="E5" s="19" t="str">
        <f>HYPERLINK("https://www.bai.go.kr/bai/result/branch/list/","열기")</f>
        <v>열기</v>
      </c>
    </row>
    <row r="6" spans="1:5" ht="42" customHeight="1">
      <c r="A6" s="7">
        <v>2</v>
      </c>
      <c r="B6" s="8" t="s">
        <v>10</v>
      </c>
      <c r="C6" s="41" t="s">
        <v>373</v>
      </c>
      <c r="D6" s="8" t="s">
        <v>374</v>
      </c>
      <c r="E6" s="20" t="str">
        <f>HYPERLINK("https://pap.go.kr/selfAudit/resultPublic/","열기")</f>
        <v>열기</v>
      </c>
    </row>
    <row r="7" spans="1:5" ht="42" customHeight="1">
      <c r="A7" s="10">
        <v>3</v>
      </c>
      <c r="B7" s="11" t="s">
        <v>16</v>
      </c>
      <c r="C7" s="42" t="s">
        <v>375</v>
      </c>
      <c r="D7" s="11" t="s">
        <v>376</v>
      </c>
      <c r="E7" s="21" t="str">
        <f>HYPERLINK("https://www.gg.go.kr/audit/bbs/board.do?bsIdx=886&amp;menuId=4272","열기")</f>
        <v>열기</v>
      </c>
    </row>
    <row r="8" spans="1:5" ht="42" customHeight="1">
      <c r="A8" s="7">
        <v>4</v>
      </c>
      <c r="B8" s="8" t="s">
        <v>111</v>
      </c>
      <c r="C8" s="41" t="s">
        <v>377</v>
      </c>
      <c r="D8" s="8" t="s">
        <v>378</v>
      </c>
      <c r="E8" s="20" t="str">
        <f>HYPERLINK("https://www.gunpo.go.kr/www/contents.do?key=4191","열기")</f>
        <v>열기</v>
      </c>
    </row>
    <row r="9" spans="1:5" ht="42" customHeight="1">
      <c r="A9" s="10">
        <v>5</v>
      </c>
      <c r="B9" s="11" t="s">
        <v>18</v>
      </c>
      <c r="C9" s="42" t="s">
        <v>379</v>
      </c>
      <c r="D9" s="11" t="s">
        <v>380</v>
      </c>
      <c r="E9" s="21" t="str">
        <f>HYPERLINK("https://news.seoul.go.kr/gov/audit_result","열기")</f>
        <v>열기</v>
      </c>
    </row>
    <row r="10" spans="1:5" ht="42" customHeight="1">
      <c r="A10" s="7">
        <v>6</v>
      </c>
      <c r="B10" s="8" t="s">
        <v>32</v>
      </c>
      <c r="C10" s="41" t="s">
        <v>381</v>
      </c>
      <c r="D10" s="8" t="s">
        <v>382</v>
      </c>
      <c r="E10" s="20" t="str">
        <f>HYPERLINK("https://state.gwd.go.kr/audit/legal/auditresult","열기")</f>
        <v>열기</v>
      </c>
    </row>
    <row r="11" spans="1:5" ht="42" customHeight="1">
      <c r="A11" s="10">
        <v>7</v>
      </c>
      <c r="B11" s="11" t="s">
        <v>23</v>
      </c>
      <c r="C11" s="42" t="s">
        <v>383</v>
      </c>
      <c r="D11" s="11" t="s">
        <v>384</v>
      </c>
      <c r="E11" s="21" t="str">
        <f>HYPERLINK("https://www.incheon.go.kr/pub/PUB020201","열기")</f>
        <v>열기</v>
      </c>
    </row>
    <row r="12" spans="1:5" ht="42" customHeight="1">
      <c r="A12" s="7">
        <v>8</v>
      </c>
      <c r="B12" s="8" t="s">
        <v>22</v>
      </c>
      <c r="C12" s="41" t="s">
        <v>385</v>
      </c>
      <c r="D12" s="8" t="s">
        <v>386</v>
      </c>
      <c r="E12" s="20" t="str">
        <f>HYPERLINK("https://www.daegu.go.kr/index.do?menu_id=00000151","열기")</f>
        <v>열기</v>
      </c>
    </row>
    <row r="13" spans="1:5" ht="42" customHeight="1">
      <c r="A13" s="10">
        <v>9</v>
      </c>
      <c r="B13" s="11" t="s">
        <v>34</v>
      </c>
      <c r="C13" s="42" t="s">
        <v>387</v>
      </c>
      <c r="D13" s="11" t="s">
        <v>388</v>
      </c>
      <c r="E13" s="21" t="str">
        <f>HYPERLINK("https://www.chungnam.go.kr/audit/bbs/B0000270/list.do?menuNo=1800010","열기")</f>
        <v>열기</v>
      </c>
    </row>
    <row r="14" spans="1:5" ht="42" customHeight="1">
      <c r="A14" s="7">
        <v>10</v>
      </c>
      <c r="B14" s="8" t="s">
        <v>40</v>
      </c>
      <c r="C14" s="41" t="s">
        <v>389</v>
      </c>
      <c r="D14" s="8" t="s">
        <v>390</v>
      </c>
      <c r="E14" s="20" t="str">
        <f>HYPERLINK("https://audit.jeju.go.kr/news/activity/result.htm","열기")</f>
        <v>열기</v>
      </c>
    </row>
    <row r="15" spans="1:5" ht="42" customHeight="1">
      <c r="A15" s="10">
        <v>11</v>
      </c>
      <c r="B15" s="11" t="s">
        <v>20</v>
      </c>
      <c r="C15" s="42" t="s">
        <v>391</v>
      </c>
      <c r="D15" s="11" t="s">
        <v>392</v>
      </c>
      <c r="E15" s="21" t="str">
        <f>HYPERLINK("https://www.busan.go.kr/gbinspec02","열기")</f>
        <v>열기</v>
      </c>
    </row>
    <row r="16" spans="1:5" ht="42" customHeight="1">
      <c r="A16" s="7">
        <v>12</v>
      </c>
      <c r="B16" s="8" t="s">
        <v>24</v>
      </c>
      <c r="C16" s="41" t="s">
        <v>393</v>
      </c>
      <c r="D16" s="8" t="s">
        <v>394</v>
      </c>
      <c r="E16" s="20" t="str">
        <f>HYPERLINK("https://www.gwangju.go.kr/public/boardList.do?boardId=BD_0000000081&amp;pageId=public145","열기")</f>
        <v>열기</v>
      </c>
    </row>
    <row r="17" spans="1:5" ht="42" customHeight="1">
      <c r="A17" s="10">
        <v>13</v>
      </c>
      <c r="B17" s="11" t="s">
        <v>76</v>
      </c>
      <c r="C17" s="42" t="s">
        <v>395</v>
      </c>
      <c r="D17" s="11" t="s">
        <v>268</v>
      </c>
      <c r="E17" s="21" t="str">
        <f>HYPERLINK("https://www.yongin.go.kr/user/bbs/BD_selectBbsList.do?q_bbsCode=1093","열기")</f>
        <v>열기</v>
      </c>
    </row>
    <row r="18" spans="1:5" ht="42" customHeight="1">
      <c r="A18" s="7">
        <v>14</v>
      </c>
      <c r="B18" s="8" t="s">
        <v>99</v>
      </c>
      <c r="C18" s="41" t="s">
        <v>396</v>
      </c>
      <c r="D18" s="8" t="s">
        <v>303</v>
      </c>
      <c r="E18" s="20" t="str">
        <f>HYPERLINK("https://www.paju.go.kr/user/board/BD_board.list.do?bbsCd=9027","열기")</f>
        <v>열기</v>
      </c>
    </row>
    <row r="19" spans="1:5" ht="42" customHeight="1">
      <c r="A19" s="10">
        <v>15</v>
      </c>
      <c r="B19" s="11" t="s">
        <v>107</v>
      </c>
      <c r="C19" s="42" t="s">
        <v>397</v>
      </c>
      <c r="D19" s="11" t="s">
        <v>316</v>
      </c>
      <c r="E19" s="21" t="str">
        <f>HYPERLINK("https://www.hanam.go.kr/www/selectBbsNttList.do?bbsNo=70&amp;key=3509","열기")</f>
        <v>열기</v>
      </c>
    </row>
    <row r="20" spans="1:5" ht="42" customHeight="1">
      <c r="A20" s="7">
        <v>16</v>
      </c>
      <c r="B20" s="8" t="s">
        <v>81</v>
      </c>
      <c r="C20" s="41" t="s">
        <v>398</v>
      </c>
      <c r="D20" s="8" t="s">
        <v>276</v>
      </c>
      <c r="E20" s="20" t="str">
        <f>HYPERLINK("https://www.hscity.go.kr/www/user/bbs/BD_selectBbsList.do?q_bbsCode=1115","열기")</f>
        <v>열기</v>
      </c>
    </row>
    <row r="21" spans="1:5" ht="42" customHeight="1">
      <c r="A21" s="10">
        <v>17</v>
      </c>
      <c r="B21" s="11" t="s">
        <v>83</v>
      </c>
      <c r="C21" s="42" t="s">
        <v>399</v>
      </c>
      <c r="D21" s="11" t="s">
        <v>279</v>
      </c>
      <c r="E21" s="21" t="str">
        <f>HYPERLINK("https://www.seongnam.go.kr/city/1001145/30084/bbsList.do","열기")</f>
        <v>열기</v>
      </c>
    </row>
    <row r="22" spans="1:5" ht="42" customHeight="1">
      <c r="A22" s="7">
        <v>18</v>
      </c>
      <c r="B22" s="8" t="s">
        <v>109</v>
      </c>
      <c r="C22" s="41" t="s">
        <v>400</v>
      </c>
      <c r="D22" s="8" t="s">
        <v>320</v>
      </c>
      <c r="E22" s="20" t="str">
        <f>HYPERLINK("https://www.gm.go.kr/pt/user/bbs/BD_selectBbsList.do?q_bbsCode=2055&amp;q_clCode=2","열기")</f>
        <v>열기</v>
      </c>
    </row>
    <row r="23" spans="1:5" ht="42" customHeight="1">
      <c r="A23" s="10">
        <v>19</v>
      </c>
      <c r="B23" s="11" t="s">
        <v>58</v>
      </c>
      <c r="C23" s="42" t="s">
        <v>401</v>
      </c>
      <c r="D23" s="11" t="s">
        <v>238</v>
      </c>
      <c r="E23" s="21" t="str">
        <f>HYPERLINK("https://www.sdm.go.kr/clean/inspect/result.do","열기")</f>
        <v>열기</v>
      </c>
    </row>
    <row r="24" spans="1:5" ht="42" customHeight="1">
      <c r="A24" s="7">
        <v>20</v>
      </c>
      <c r="B24" s="8" t="s">
        <v>53</v>
      </c>
      <c r="C24" s="41" t="s">
        <v>402</v>
      </c>
      <c r="D24" s="8" t="s">
        <v>238</v>
      </c>
      <c r="E24" s="20" t="str">
        <f>HYPERLINK("https://www.sb.go.kr/www/selectBbsNttList.do?bbsNo=27&amp;key=5922","열기")</f>
        <v>열기</v>
      </c>
    </row>
    <row r="25" spans="1:5" ht="42" customHeight="1">
      <c r="A25" s="10">
        <v>21</v>
      </c>
      <c r="B25" s="11" t="s">
        <v>50</v>
      </c>
      <c r="C25" s="42" t="s">
        <v>403</v>
      </c>
      <c r="D25" s="11" t="s">
        <v>238</v>
      </c>
      <c r="E25" s="21" t="str">
        <f>HYPERLINK("https://www.ddm.go.kr/www/selectBbsNttList.do?bbsNo=158&amp;integrDeptCode=&amp;key=563","열기")</f>
        <v>열기</v>
      </c>
    </row>
    <row r="26" spans="1:5" ht="42" customHeight="1">
      <c r="A26" s="7">
        <v>22</v>
      </c>
      <c r="B26" s="8" t="s">
        <v>62</v>
      </c>
      <c r="C26" s="41" t="s">
        <v>404</v>
      </c>
      <c r="D26" s="8" t="s">
        <v>238</v>
      </c>
      <c r="E26" s="20" t="str">
        <f>HYPERLINK("https://www.guro.go.kr/upright/selectBbsNttList.do?bbsNo=593&amp;key=1532","열기")</f>
        <v>열기</v>
      </c>
    </row>
    <row r="27" spans="1:5" ht="42" customHeight="1">
      <c r="A27" s="10">
        <v>23</v>
      </c>
      <c r="B27" s="11" t="s">
        <v>66</v>
      </c>
      <c r="C27" s="42" t="s">
        <v>405</v>
      </c>
      <c r="D27" s="11" t="s">
        <v>238</v>
      </c>
      <c r="E27" s="21" t="str">
        <f>HYPERLINK("https://www.dongjak.go.kr/portal/bbs/B0000712/list.do?menuNo=200208","열기")</f>
        <v>열기</v>
      </c>
    </row>
    <row r="28" spans="1:5" ht="42" customHeight="1">
      <c r="A28" s="17">
        <v>24</v>
      </c>
      <c r="B28" s="18" t="s">
        <v>65</v>
      </c>
      <c r="C28" s="43" t="s">
        <v>406</v>
      </c>
      <c r="D28" s="18" t="s">
        <v>238</v>
      </c>
      <c r="E28" s="22" t="str">
        <f>HYPERLINK("https://www.ydp.go.kr/www/selectBbsNttList.do?bbsNo=33&amp;key=2821","열기")</f>
        <v>열기</v>
      </c>
    </row>
  </sheetData>
  <mergeCells count="2">
    <mergeCell ref="A1:E1"/>
    <mergeCell ref="A2:E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22"/>
  <sheetViews>
    <sheetView zoomScale="85" zoomScaleNormal="85" workbookViewId="0">
      <pane ySplit="4" topLeftCell="A5" activePane="bottomLeft" state="frozen"/>
      <selection pane="bottomLeft" activeCell="B11" sqref="B11"/>
    </sheetView>
  </sheetViews>
  <sheetFormatPr defaultRowHeight="14.25"/>
  <cols>
    <col min="1" max="1" width="19.25" style="37" customWidth="1"/>
    <col min="2" max="2" width="69" customWidth="1"/>
    <col min="3" max="3" width="45.5" customWidth="1"/>
    <col min="4" max="4" width="59" customWidth="1"/>
  </cols>
  <sheetData>
    <row r="1" spans="1:4" ht="27.95" customHeight="1">
      <c r="A1" s="31" t="s">
        <v>407</v>
      </c>
      <c r="B1" s="31"/>
      <c r="C1" s="31"/>
      <c r="D1" s="31"/>
    </row>
    <row r="2" spans="1:4" ht="32.1" customHeight="1">
      <c r="A2" s="32" t="s">
        <v>408</v>
      </c>
      <c r="B2" s="32"/>
      <c r="C2" s="32"/>
      <c r="D2" s="32"/>
    </row>
    <row r="3" spans="1:4" ht="8.1" customHeight="1"/>
    <row r="4" spans="1:4" ht="27.95" customHeight="1">
      <c r="A4" s="1" t="s">
        <v>409</v>
      </c>
      <c r="B4" s="2" t="s">
        <v>142</v>
      </c>
      <c r="C4" s="2" t="s">
        <v>410</v>
      </c>
      <c r="D4" s="3" t="s">
        <v>411</v>
      </c>
    </row>
    <row r="5" spans="1:4" ht="42.95" customHeight="1">
      <c r="A5" s="33" t="s">
        <v>412</v>
      </c>
      <c r="B5" s="6" t="s">
        <v>413</v>
      </c>
      <c r="C5" s="6" t="s">
        <v>414</v>
      </c>
      <c r="D5" s="23" t="s">
        <v>415</v>
      </c>
    </row>
    <row r="6" spans="1:4" ht="42.95" customHeight="1">
      <c r="A6" s="34" t="s">
        <v>416</v>
      </c>
      <c r="B6" s="9" t="s">
        <v>417</v>
      </c>
      <c r="C6" s="9" t="s">
        <v>418</v>
      </c>
      <c r="D6" s="13" t="s">
        <v>415</v>
      </c>
    </row>
    <row r="7" spans="1:4" ht="42.95" customHeight="1">
      <c r="A7" s="35" t="s">
        <v>419</v>
      </c>
      <c r="B7" s="12" t="s">
        <v>420</v>
      </c>
      <c r="C7" s="12" t="s">
        <v>421</v>
      </c>
      <c r="D7" s="14" t="s">
        <v>415</v>
      </c>
    </row>
    <row r="8" spans="1:4" ht="42.95" customHeight="1">
      <c r="A8" s="34" t="s">
        <v>422</v>
      </c>
      <c r="B8" s="9" t="s">
        <v>423</v>
      </c>
      <c r="C8" s="9" t="s">
        <v>424</v>
      </c>
      <c r="D8" s="13" t="s">
        <v>415</v>
      </c>
    </row>
    <row r="9" spans="1:4" ht="42.95" customHeight="1">
      <c r="A9" s="35" t="s">
        <v>425</v>
      </c>
      <c r="B9" s="12" t="s">
        <v>426</v>
      </c>
      <c r="C9" s="12" t="s">
        <v>427</v>
      </c>
      <c r="D9" s="14" t="s">
        <v>415</v>
      </c>
    </row>
    <row r="10" spans="1:4" ht="42.95" customHeight="1">
      <c r="A10" s="34" t="s">
        <v>428</v>
      </c>
      <c r="B10" s="9" t="s">
        <v>429</v>
      </c>
      <c r="C10" s="9" t="s">
        <v>430</v>
      </c>
      <c r="D10" s="13" t="s">
        <v>415</v>
      </c>
    </row>
    <row r="11" spans="1:4" ht="42.95" customHeight="1">
      <c r="A11" s="35" t="s">
        <v>431</v>
      </c>
      <c r="B11" s="12" t="s">
        <v>432</v>
      </c>
      <c r="C11" s="12" t="s">
        <v>433</v>
      </c>
      <c r="D11" s="14" t="s">
        <v>415</v>
      </c>
    </row>
    <row r="12" spans="1:4" ht="42.95" customHeight="1">
      <c r="A12" s="34" t="s">
        <v>434</v>
      </c>
      <c r="B12" s="9" t="s">
        <v>435</v>
      </c>
      <c r="C12" s="9" t="s">
        <v>436</v>
      </c>
      <c r="D12" s="13" t="s">
        <v>415</v>
      </c>
    </row>
    <row r="13" spans="1:4" ht="42.95" customHeight="1">
      <c r="A13" s="35" t="s">
        <v>437</v>
      </c>
      <c r="B13" s="12" t="s">
        <v>438</v>
      </c>
      <c r="C13" s="12" t="s">
        <v>439</v>
      </c>
      <c r="D13" s="14" t="s">
        <v>415</v>
      </c>
    </row>
    <row r="14" spans="1:4" ht="42.95" customHeight="1">
      <c r="A14" s="34" t="s">
        <v>440</v>
      </c>
      <c r="B14" s="9" t="s">
        <v>441</v>
      </c>
      <c r="C14" s="9" t="s">
        <v>442</v>
      </c>
      <c r="D14" s="13" t="s">
        <v>415</v>
      </c>
    </row>
    <row r="15" spans="1:4" ht="42.95" customHeight="1">
      <c r="A15" s="35" t="s">
        <v>443</v>
      </c>
      <c r="B15" s="12" t="s">
        <v>444</v>
      </c>
      <c r="C15" s="12" t="s">
        <v>445</v>
      </c>
      <c r="D15" s="14" t="s">
        <v>415</v>
      </c>
    </row>
    <row r="16" spans="1:4" ht="42.95" customHeight="1">
      <c r="A16" s="34" t="s">
        <v>446</v>
      </c>
      <c r="B16" s="9" t="s">
        <v>447</v>
      </c>
      <c r="C16" s="9" t="s">
        <v>448</v>
      </c>
      <c r="D16" s="13" t="s">
        <v>415</v>
      </c>
    </row>
    <row r="17" spans="1:4" ht="42.95" customHeight="1">
      <c r="A17" s="35" t="s">
        <v>449</v>
      </c>
      <c r="B17" s="12" t="s">
        <v>450</v>
      </c>
      <c r="C17" s="12" t="s">
        <v>451</v>
      </c>
      <c r="D17" s="14" t="s">
        <v>415</v>
      </c>
    </row>
    <row r="18" spans="1:4" ht="42.95" customHeight="1">
      <c r="A18" s="34" t="s">
        <v>452</v>
      </c>
      <c r="B18" s="9" t="s">
        <v>453</v>
      </c>
      <c r="C18" s="9" t="s">
        <v>454</v>
      </c>
      <c r="D18" s="13" t="s">
        <v>455</v>
      </c>
    </row>
    <row r="19" spans="1:4" ht="42.95" customHeight="1">
      <c r="A19" s="35" t="s">
        <v>456</v>
      </c>
      <c r="B19" s="12" t="s">
        <v>457</v>
      </c>
      <c r="C19" s="12" t="s">
        <v>458</v>
      </c>
      <c r="D19" s="14" t="s">
        <v>459</v>
      </c>
    </row>
    <row r="20" spans="1:4" ht="42.95" customHeight="1">
      <c r="A20" s="34" t="s">
        <v>460</v>
      </c>
      <c r="B20" s="9" t="s">
        <v>461</v>
      </c>
      <c r="C20" s="9" t="s">
        <v>462</v>
      </c>
      <c r="D20" s="13" t="s">
        <v>463</v>
      </c>
    </row>
    <row r="21" spans="1:4" ht="42.95" customHeight="1">
      <c r="A21" s="35" t="s">
        <v>464</v>
      </c>
      <c r="B21" s="12" t="s">
        <v>465</v>
      </c>
      <c r="C21" s="12" t="s">
        <v>466</v>
      </c>
      <c r="D21" s="14" t="s">
        <v>467</v>
      </c>
    </row>
    <row r="22" spans="1:4" ht="42.95" customHeight="1">
      <c r="A22" s="36" t="s">
        <v>468</v>
      </c>
      <c r="B22" s="15" t="s">
        <v>469</v>
      </c>
      <c r="C22" s="15" t="s">
        <v>470</v>
      </c>
      <c r="D22" s="16" t="s">
        <v>471</v>
      </c>
    </row>
  </sheetData>
  <mergeCells count="2">
    <mergeCell ref="A1:D1"/>
    <mergeCell ref="A2:D2"/>
  </mergeCells>
  <phoneticPr fontId="1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인쇄용_바로가기</vt:lpstr>
      <vt:lpstr>전체_상세목록</vt:lpstr>
      <vt:lpstr>연찬_우선기관</vt:lpstr>
      <vt:lpstr>분야별_검색키워드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2026-10-12T22:46:43Z</dcterms:created>
  <dcterms:modified xsi:type="dcterms:W3CDTF">2026-10-12T22:46:43Z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0</vt:lpwstr>
  </property>
</Properties>
</file>