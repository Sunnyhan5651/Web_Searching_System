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e2bb07f50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인쇄용_바로가기" sheetId="1" r:id="Rf788106a578847d3"/>
    <x:sheet xmlns:r="http://schemas.openxmlformats.org/officeDocument/2006/relationships" name="전체_상세목록" sheetId="2" r:id="R5c2290761c824815"/>
    <x:sheet xmlns:r="http://schemas.openxmlformats.org/officeDocument/2006/relationships" name="연찬_우선기관" sheetId="3" r:id="Rf247a74e1d3149e2"/>
    <x:sheet xmlns:r="http://schemas.openxmlformats.org/officeDocument/2006/relationships" name="분야별_검색키워드" sheetId="4" r:id="Rdb964f9397e245ff"/>
    <x:sheet xmlns:r="http://schemas.openxmlformats.org/officeDocument/2006/relationships" name="시범수집검증" sheetId="5" r:id="R34add878ad8c4df2"/>
  </x:sheets>
</x:workbook>
</file>

<file path=xl/sharedStrings.xml><?xml version="1.0" encoding="utf-8"?>
<x:sst xmlns:x="http://schemas.openxmlformats.org/spreadsheetml/2006/main">
  <x:si>
    <x:t xml:space="preserve">감사사례 연찬용 전국 감사결과 바로가기</x:t>
  </x:si>
  <x:si>
    <x:t xml:space="preserve">※ 감사원·통합검색·전국 광역자치단체·서울 25개 자치구·경기도 31개 시군 | 2026. 10. 13. 확인 기준</x:t>
  </x:si>
  <x:si>
    <x:t xml:space="preserve">No.</x:t>
  </x:si>
  <x:si>
    <x:t xml:space="preserve">기관명</x:t>
  </x:si>
  <x:si>
    <x:t xml:space="preserve">감사결과 메뉴</x:t>
  </x:si>
  <x:si>
    <x:t xml:space="preserve">접근유형</x:t>
  </x:si>
  <x:si>
    <x:t xml:space="preserve">바로가기</x:t>
  </x:si>
  <x:si>
    <x:t xml:space="preserve">감사원</x:t>
  </x:si>
  <x:si>
    <x:t xml:space="preserve">감사결과 &gt; 분야별 감사보고서</x:t>
  </x:si>
  <x:si>
    <x:t xml:space="preserve">직접/목록</x:t>
  </x:si>
  <x:si>
    <x:t xml:space="preserve">공공감사정보시스템(PAP)</x:t>
  </x:si>
  <x:si>
    <x:t xml:space="preserve">자체감사 &gt; 감사결과 공개</x:t>
  </x:si>
  <x:si>
    <x:t xml:space="preserve">전국 통합검색</x:t>
  </x:si>
  <x:si>
    <x:t xml:space="preserve">행정안전부</x:t>
  </x:si>
  <x:si>
    <x:t xml:space="preserve">감사계획 및 결과</x:t>
  </x:si>
  <x:si>
    <x:t xml:space="preserve">전용게시판</x:t>
  </x:si>
  <x:si>
    <x:t xml:space="preserve">경기도</x:t>
  </x:si>
  <x:si>
    <x:t xml:space="preserve">경기도감사위원회 &gt; 도민에게 알립니다 &gt; 감사결과</x:t>
  </x:si>
  <x:si>
    <x:t xml:space="preserve">서울특별시</x:t>
  </x:si>
  <x:si>
    <x:t xml:space="preserve">감사결과 공개</x:t>
  </x:si>
  <x:si>
    <x:t xml:space="preserve">부산광역시</x:t>
  </x:si>
  <x:si>
    <x:t xml:space="preserve">감사결과</x:t>
  </x:si>
  <x:si>
    <x:t xml:space="preserve">대구광역시</x:t>
  </x:si>
  <x:si>
    <x:t xml:space="preserve">인천광역시</x:t>
  </x:si>
  <x:si>
    <x:t xml:space="preserve">공식 보존게시판</x:t>
  </x:si>
  <x:si>
    <x:t xml:space="preserve">대전광역시</x:t>
  </x:si>
  <x:si>
    <x:t xml:space="preserve">울산광역시</x:t>
  </x:si>
  <x:si>
    <x:t xml:space="preserve">감사메뉴</x:t>
  </x:si>
  <x:si>
    <x:t xml:space="preserve">세종특별자치시</x:t>
  </x:si>
  <x:si>
    <x:t xml:space="preserve">감사위원회 &gt; 감사결과 공개</x:t>
  </x:si>
  <x:si>
    <x:t xml:space="preserve">공식홈페이지 검색</x:t>
  </x:si>
  <x:si>
    <x:t xml:space="preserve">강원특별자치도</x:t>
  </x:si>
  <x:si>
    <x:t xml:space="preserve">충청북도</x:t>
  </x:si>
  <x:si>
    <x:t xml:space="preserve">충청남도</x:t>
  </x:si>
  <x:si>
    <x:t xml:space="preserve">전북특별자치도</x:t>
  </x:si>
  <x:si>
    <x:t xml:space="preserve">경상북도</x:t>
  </x:si>
  <x:si>
    <x:t xml:space="preserve">경상남도</x:t>
  </x:si>
  <x:si>
    <x:t xml:space="preserve">감사위원회</x:t>
  </x:si>
  <x:si>
    <x:t xml:space="preserve">감사위원회 메인 경유</x:t>
  </x:si>
  <x:si>
    <x:t xml:space="preserve">제주특별자치도</x:t>
  </x:si>
  <x:si>
    <x:t xml:space="preserve">감사활동 &gt; 감사결과</x:t>
  </x:si>
  <x:si>
    <x:t xml:space="preserve">종로구</x:t>
  </x:si>
  <x:si>
    <x:t xml:space="preserve">통합검색 &gt; 감사결과·자체감사</x:t>
  </x:si>
  <x:si>
    <x:t xml:space="preserve">중구</x:t>
  </x:si>
  <x:si>
    <x:t xml:space="preserve">용산구</x:t>
  </x:si>
  <x:si>
    <x:t xml:space="preserve">성동구</x:t>
  </x:si>
  <x:si>
    <x:t xml:space="preserve">광진구</x:t>
  </x:si>
  <x:si>
    <x:t xml:space="preserve">자체감사결과</x:t>
  </x:si>
  <x:si>
    <x:t xml:space="preserve">전용·관련게시판</x:t>
  </x:si>
  <x:si>
    <x:t xml:space="preserve">동대문구</x:t>
  </x:si>
  <x:si>
    <x:t xml:space="preserve">감사실시결과</x:t>
  </x:si>
  <x:si>
    <x:t xml:space="preserve">중랑구</x:t>
  </x:si>
  <x:si>
    <x:t xml:space="preserve">성북구</x:t>
  </x:si>
  <x:si>
    <x:t xml:space="preserve">강북구</x:t>
  </x:si>
  <x:si>
    <x:t xml:space="preserve">도봉구</x:t>
  </x:si>
  <x:si>
    <x:t xml:space="preserve">노원구</x:t>
  </x:si>
  <x:si>
    <x:t xml:space="preserve">은평구</x:t>
  </x:si>
  <x:si>
    <x:t xml:space="preserve">서대문구</x:t>
  </x:si>
  <x:si>
    <x:t xml:space="preserve">마포구</x:t>
  </x:si>
  <x:si>
    <x:t xml:space="preserve">양천구</x:t>
  </x:si>
  <x:si>
    <x:t xml:space="preserve">강서구</x:t>
  </x:si>
  <x:si>
    <x:t xml:space="preserve">구로구</x:t>
  </x:si>
  <x:si>
    <x:t xml:space="preserve">감사실시 결과</x:t>
  </x:si>
  <x:si>
    <x:t xml:space="preserve">금천구</x:t>
  </x:si>
  <x:si>
    <x:t xml:space="preserve">영등포구</x:t>
  </x:si>
  <x:si>
    <x:t xml:space="preserve">동작구</x:t>
  </x:si>
  <x:si>
    <x:t xml:space="preserve">관악구</x:t>
  </x:si>
  <x:si>
    <x:t xml:space="preserve">서초구</x:t>
  </x:si>
  <x:si>
    <x:t xml:space="preserve">사전정보공개 &gt; 감사결과</x:t>
  </x:si>
  <x:si>
    <x:t xml:space="preserve">강남구</x:t>
  </x:si>
  <x:si>
    <x:t xml:space="preserve">행정정보공개 &gt; 감사결과보고</x:t>
  </x:si>
  <x:si>
    <x:t xml:space="preserve">송파구</x:t>
  </x:si>
  <x:si>
    <x:t xml:space="preserve">강동구</x:t>
  </x:si>
  <x:si>
    <x:t xml:space="preserve">수원시</x:t>
  </x:si>
  <x:si>
    <x:t xml:space="preserve">정보공개/개방 &gt; 청렴수원 &gt; 감사·조사결과공개</x:t>
  </x:si>
  <x:si>
    <x:t xml:space="preserve">용인시</x:t>
  </x:si>
  <x:si>
    <x:t xml:space="preserve">열린감사</x:t>
  </x:si>
  <x:si>
    <x:t xml:space="preserve">고양시</x:t>
  </x:si>
  <x:si>
    <x:t xml:space="preserve">정보공개/감사 관련 메뉴</x:t>
  </x:si>
  <x:si>
    <x:t xml:space="preserve">공식홈페이지 경유</x:t>
  </x:si>
  <x:si>
    <x:t xml:space="preserve">화성특례시</x:t>
  </x:si>
  <x:si>
    <x:t xml:space="preserve">정보공개 &gt; 감사정보공개</x:t>
  </x:si>
  <x:si>
    <x:t xml:space="preserve">성남시</x:t>
  </x:si>
  <x:si>
    <x:t xml:space="preserve">정보공개 &gt; 청렴성남 &gt; 감사정보공개 &gt; 감사자료실</x:t>
  </x:si>
  <x:si>
    <x:t xml:space="preserve">부천시</x:t>
  </x:si>
  <x:si>
    <x:t xml:space="preserve">정보공개 &gt; 정보공개제도 &gt; 사전정보공표</x:t>
  </x:si>
  <x:si>
    <x:t xml:space="preserve">사전정보공표 경유</x:t>
  </x:si>
  <x:si>
    <x:t xml:space="preserve">남양주시</x:t>
  </x:si>
  <x:si>
    <x:t xml:space="preserve">정보공개 &gt; 사전행정정보 &gt; 감사결과</x:t>
  </x:si>
  <x:si>
    <x:t xml:space="preserve">안산시</x:t>
  </x:si>
  <x:si>
    <x:t xml:space="preserve">부서자료실 &gt; 감사관 자료</x:t>
  </x:si>
  <x:si>
    <x:t xml:space="preserve">부서자료실 필터</x:t>
  </x:si>
  <x:si>
    <x:t xml:space="preserve">평택시</x:t>
  </x:si>
  <x:si>
    <x:t xml:space="preserve">안양시</x:t>
  </x:si>
  <x:si>
    <x:t xml:space="preserve">정보공개 &gt; 공개합니다 &gt; 감사결과공개</x:t>
  </x:si>
  <x:si>
    <x:t xml:space="preserve">시흥시</x:t>
  </x:si>
  <x:si>
    <x:t xml:space="preserve">열린행정 &gt; 청렴한시흥 &gt; 감사결과 공개</x:t>
  </x:si>
  <x:si>
    <x:t xml:space="preserve">메뉴경로 확인</x:t>
  </x:si>
  <x:si>
    <x:t xml:space="preserve">파주시</x:t>
  </x:si>
  <x:si>
    <x:t xml:space="preserve">정보공개 &gt; 감사정보공개 &gt; 감사결과</x:t>
  </x:si>
  <x:si>
    <x:t xml:space="preserve">김포시</x:t>
  </x:si>
  <x:si>
    <x:t xml:space="preserve">의정부시</x:t>
  </x:si>
  <x:si>
    <x:t xml:space="preserve">의정부소개 &gt; 부서안내 &gt; 감사담당관</x:t>
  </x:si>
  <x:si>
    <x:t xml:space="preserve">부서페이지 경유</x:t>
  </x:si>
  <x:si>
    <x:t xml:space="preserve">광주시</x:t>
  </x:si>
  <x:si>
    <x:t xml:space="preserve">정보공개 &gt; 감사행정 &gt; 감사행정공개</x:t>
  </x:si>
  <x:si>
    <x:t xml:space="preserve">하남시</x:t>
  </x:si>
  <x:si>
    <x:t xml:space="preserve">법무감사관 &gt; 감사결과공표</x:t>
  </x:si>
  <x:si>
    <x:t xml:space="preserve">광명시</x:t>
  </x:si>
  <x:si>
    <x:t xml:space="preserve">뉴스/정보공개 &gt; 열린행정 &gt; 열린감사 &gt; 감사결과</x:t>
  </x:si>
  <x:si>
    <x:t xml:space="preserve">군포시</x:t>
  </x:si>
  <x:si>
    <x:t xml:space="preserve">정보공개 &gt; 사전정보공표 &gt; 자체감사계획 및 감사결과</x:t>
  </x:si>
  <x:si>
    <x:t xml:space="preserve">양주시</x:t>
  </x:si>
  <x:si>
    <x:t xml:space="preserve">열린시정 &gt; 정보공개 &gt; 감사계획 및 결과</x:t>
  </x:si>
  <x:si>
    <x:t xml:space="preserve">오산시</x:t>
  </x:si>
  <x:si>
    <x:t xml:space="preserve">이천시</x:t>
  </x:si>
  <x:si>
    <x:t xml:space="preserve">통합검색 &gt; '감사결과' 또는 '종합감사 결과'</x:t>
  </x:si>
  <x:si>
    <x:t xml:space="preserve">홈페이지 검색 경유</x:t>
  </x:si>
  <x:si>
    <x:t xml:space="preserve">안성시</x:t>
  </x:si>
  <x:si>
    <x:t xml:space="preserve">구리시</x:t>
  </x:si>
  <x:si>
    <x:t xml:space="preserve">열린행정 &gt; 청렴한 구리시 &gt; 공개감사 및 결과공지</x:t>
  </x:si>
  <x:si>
    <x:t xml:space="preserve">의왕시</x:t>
  </x:si>
  <x:si>
    <x:t xml:space="preserve">정보공개 &gt; 감사결과 공개</x:t>
  </x:si>
  <x:si>
    <x:t xml:space="preserve">포천시</x:t>
  </x:si>
  <x:si>
    <x:t xml:space="preserve">양평군</x:t>
  </x:si>
  <x:si>
    <x:t xml:space="preserve">여주시</x:t>
  </x:si>
  <x:si>
    <x:t xml:space="preserve">동두천시</x:t>
  </x:si>
  <x:si>
    <x:t xml:space="preserve">과천시</x:t>
  </x:si>
  <x:si>
    <x:t xml:space="preserve">정보공개 &gt; 행정정보 &gt; 감사결과 공개</x:t>
  </x:si>
  <x:si>
    <x:t xml:space="preserve">가평군</x:t>
  </x:si>
  <x:si>
    <x:t xml:space="preserve">행정정보 &gt; 기타정보공개 &gt; 감사행정공개</x:t>
  </x:si>
  <x:si>
    <x:t xml:space="preserve">연천군</x:t>
  </x:si>
  <x:si>
    <x:t xml:space="preserve">정보공개 &gt; 감사결과공개 자료</x:t>
  </x:si>
  <x:si>
    <x:t xml:space="preserve">감사원·전국 광역자치단체·서울 자치구·경기도 시군 감사결과 공개 페이지 상세목록</x:t>
  </x:si>
  <x:si>
    <x:t xml:space="preserve">※ 2026. 10. 13. 전국 확장 검증 | 직접 게시판과 공식홈페이지 검색 경로를 구분 | 기존 경기도 시군 링크는 2026. 9. 11. 확인자료 유지</x:t>
  </x:si>
  <x:si>
    <x:t xml:space="preserve">구분</x:t>
  </x:si>
  <x:si>
    <x:t xml:space="preserve">감사결과 메뉴·게시판</x:t>
  </x:si>
  <x:si>
    <x:t xml:space="preserve">링크 유형</x:t>
  </x:si>
  <x:si>
    <x:t xml:space="preserve">공식 URL</x:t>
  </x:si>
  <x:si>
    <x:t xml:space="preserve">연찬 활용도</x:t>
  </x:si>
  <x:si>
    <x:t xml:space="preserve">공개·검색 특징</x:t>
  </x:si>
  <x:si>
    <x:t xml:space="preserve">추천 검색어</x:t>
  </x:si>
  <x:si>
    <x:t xml:space="preserve">확인일</x:t>
  </x:si>
  <x:si>
    <x:t xml:space="preserve">비고</x:t>
  </x:si>
  <x:si>
    <x:t xml:space="preserve">중앙·통합</x:t>
  </x:si>
  <x:si>
    <x:t xml:space="preserve">https://www.bai.go.kr/bai/result/branch/list/</x:t>
  </x:si>
  <x:si>
    <x:t xml:space="preserve">최우선</x:t>
  </x:si>
  <x:si>
    <x:t xml:space="preserve">중앙행정기관·지방자치단체·공공기관 감사결과를 폭넓게 제공</x:t>
  </x:si>
  <x:si>
    <x:t xml:space="preserve">계약, 보조금, 인사, 복무, 공사, 공유재산, 예산, 공공기관</x:t>
  </x:si>
  <x:si>
    <x:t xml:space="preserve">2026-10-13</x:t>
  </x:si>
  <x:si>
    <x:t xml:space="preserve">감사사례 연찬의 1차 기준 자료</x:t>
  </x:si>
  <x:si>
    <x:t xml:space="preserve">https://pap.go.kr/selfAudit/resultPublic/</x:t>
  </x:si>
  <x:si>
    <x:t xml:space="preserve">전국 공공기관 자체감사 결과를 기관·기간·키워드로 통합 검색</x:t>
  </x:si>
  <x:si>
    <x:t xml:space="preserve">계약, 채용, 복무, 보조금, 공사, 재무감사, 특정감사</x:t>
  </x:si>
  <x:si>
    <x:t xml:space="preserve">기관별 게시판 탐색 전 통합검색용</x:t>
  </x:si>
  <x:si>
    <x:t xml:space="preserve">https://www.mois.go.kr/frt/bbs/type001/commonSelectBoardList.do?bbsId=BBSMSTR_000000000002</x:t>
  </x:si>
  <x:si>
    <x:t xml:space="preserve">우선</x:t>
  </x:si>
  <x:si>
    <x:t xml:space="preserve">지방행정·정부합동감사·산하기관 감사결과 확인</x:t>
  </x:si>
  <x:si>
    <x:t xml:space="preserve">정부합동감사, 지방행정, 계약, 재정, 안전, 지방공기업</x:t>
  </x:si>
  <x:si>
    <x:t xml:space="preserve">지방자치단체 공통 지적사항 연찬에 활용</x:t>
  </x:si>
  <x:si>
    <x:t xml:space="preserve">광역/도</x:t>
  </x:si>
  <x:si>
    <x:t xml:space="preserve">https://www.gg.go.kr/audit/bbs/board.do?bsIdx=886&amp;menuId=4272</x:t>
  </x:si>
  <x:si>
    <x:t xml:space="preserve">도 본청·산하기관·시군 종합감사 및 특정감사 사례 확인</x:t>
  </x:si>
  <x:si>
    <x:t xml:space="preserve">시군 종합감사, 특정감사, 공공기관, 주민감사</x:t>
  </x:si>
  <x:si>
    <x:t xml:space="preserve">도 본청·시군·공공기관 사례 비교에 유용</x:t>
  </x:si>
  <x:si>
    <x:t xml:space="preserve">광역/특별시</x:t>
  </x:si>
  <x:si>
    <x:t xml:space="preserve">https://news.seoul.go.kr/gov/audit_result</x:t>
  </x:si>
  <x:si>
    <x:t xml:space="preserve">본청·사업소·자치구·출연기관 감사사례를 분야별로 폭넓게 제공</x:t>
  </x:si>
  <x:si>
    <x:t xml:space="preserve">민간위탁, 계약, 공사, 복지시설, 출연기관, 안전, 채용</x:t>
  </x:si>
  <x:si>
    <x:t xml:space="preserve">도시행정·자치구 업무 비교에 특히 유용</x:t>
  </x:si>
  <x:si>
    <x:t xml:space="preserve">광역/광역시</x:t>
  </x:si>
  <x:si>
    <x:t xml:space="preserve">https://www.busan.go.kr/gbinspec02</x:t>
  </x:si>
  <x:si>
    <x:t xml:space="preserve">구·군, 공사·공단, 출자출연기관 감사결과가 풍부</x:t>
  </x:si>
  <x:si>
    <x:t xml:space="preserve">공유재산, 공무국외출장, 재정지원, 공사, 공공기관</x:t>
  </x:si>
  <x:si>
    <x:t xml:space="preserve">광역도시형 사례 비교에 유용</x:t>
  </x:si>
  <x:si>
    <x:t xml:space="preserve">https://www.daegu.go.kr/index.do?menu_id=00000151</x:t>
  </x:si>
  <x:si>
    <x:t xml:space="preserve">구·군과 산하기관의 감사결과를 지속 공개</x:t>
  </x:si>
  <x:si>
    <x:t xml:space="preserve">민간위탁, 공사현장, 지방세, 출연기관, 복무</x:t>
  </x:si>
  <x:si>
    <x:t xml:space="preserve">https://www.incheon.go.kr/pub/PUB020201</x:t>
  </x:si>
  <x:si>
    <x:t xml:space="preserve">군·구 종합감사와 공직유관단체·의료원 등 기관감사 사례</x:t>
  </x:si>
  <x:si>
    <x:t xml:space="preserve">군구 종합감사, 채용, 의료원, 보조금, 계약</x:t>
  </x:si>
  <x:si>
    <x:t xml:space="preserve">광역(통합)</x:t>
  </x:si>
  <x:si>
    <x:t xml:space="preserve">https://www.gwangju.go.kr/public/boardList.do?boardId=BD_0000000081&amp;pageId=public145</x:t>
  </x:si>
  <x:si>
    <x:t xml:space="preserve">광주권 자치구·공사·복지시설 관련 기존 감사자료</x:t>
  </x:si>
  <x:si>
    <x:t xml:space="preserve">자치구, 공사, 복지시설, 보조금, 안전, 계약</x:t>
  </x:si>
  <x:si>
    <x:t xml:space="preserve">통합 전 광주광역시 공식 감사자료 보존 페이지</x:t>
  </x:si>
  <x:si>
    <x:t xml:space="preserve">https://www.daejeon.go.kr/drh/depart/board/boardNormalList.do?boardId=ins_0002&amp;categorySeq=&amp;menuSeq=1042</x:t>
  </x:si>
  <x:si>
    <x:t xml:space="preserve">자치구·사업소·공사·출연기관 감사결과</x:t>
  </x:si>
  <x:si>
    <x:t xml:space="preserve">자치구, 사업소, 공사, 출연기관, 계약, 복무</x:t>
  </x:si>
  <x:si>
    <x:t xml:space="preserve">https://www.ulsan.go.kr/u/gov/contents.ulsan?mId=001003004000000000</x:t>
  </x:si>
  <x:si>
    <x:t xml:space="preserve">구·군 종합감사와 공공기관·건설·보조금 사례</x:t>
  </x:si>
  <x:si>
    <x:t xml:space="preserve">구군 종합감사, 공공기관, 건설, 보조금, 복무</x:t>
  </x:si>
  <x:si>
    <x:t xml:space="preserve">페이지 내 감사결과 공개 메뉴 이용</x:t>
  </x:si>
  <x:si>
    <x:t xml:space="preserve">광역/특별자치시</x:t>
  </x:si>
  <x:si>
    <x:t xml:space="preserve">https://www.sejong.go.kr/</x:t>
  </x:si>
  <x:si>
    <x:t xml:space="preserve">보완</x:t>
  </x:si>
  <x:si>
    <x:t xml:space="preserve">재무감사·소방장비·민간위탁·공공기관 사례</x:t>
  </x:si>
  <x:si>
    <x:t xml:space="preserve">감사결과, 재무감사, 소방장비, 민간위탁, 공공기관</x:t>
  </x:si>
  <x:si>
    <x:t xml:space="preserve">홈페이지 통합검색에서 ‘감사결과’ 입력</x:t>
  </x:si>
  <x:si>
    <x:t xml:space="preserve">광역/특별자치도</x:t>
  </x:si>
  <x:si>
    <x:t xml:space="preserve">https://state.gwd.go.kr/audit/legal/auditresult</x:t>
  </x:si>
  <x:si>
    <x:t xml:space="preserve">시·군, 교육지원청, 공공기관 등 누적 감사자료가 매우 풍부</x:t>
  </x:si>
  <x:si>
    <x:t xml:space="preserve">시군, 교육지원청, 공공기관, 재무, 건설행정, 보조금</x:t>
  </x:si>
  <x:si>
    <x:t xml:space="preserve">전국 비교 연찬의 핵심 기관</x:t>
  </x:si>
  <x:si>
    <x:t xml:space="preserve">https://www.chungbuk.go.kr/www/selectBbsNttList.do?bbsNo=12&amp;key=232</x:t>
  </x:si>
  <x:si>
    <x:t xml:space="preserve">시·군, 출자출연기관, 보조금·수당·시설물 감사사례</x:t>
  </x:si>
  <x:si>
    <x:t xml:space="preserve">시군, 보조금, 출자출연, 수당, 공공시설물</x:t>
  </x:si>
  <x:si>
    <x:t xml:space="preserve">https://www.chungnam.go.kr/audit/bbs/B0000270/list.do?menuNo=1800010</x:t>
  </x:si>
  <x:si>
    <x:t xml:space="preserve">시·군, 건설본부, 출연기관 감사결과가 체계적으로 축적</x:t>
  </x:si>
  <x:si>
    <x:t xml:space="preserve">시군, 건설본부, 출연기관, 보조금, 계약</x:t>
  </x:si>
  <x:si>
    <x:t xml:space="preserve">https://www.jeonbuk.go.kr/audit/board/list.jeonbuk?boardId=BBS_0000157&amp;listCel=1&amp;listRow=10&amp;menuCd=DOM_000001402003000000&amp;paging=ok&amp;startPage=1</x:t>
  </x:si>
  <x:si>
    <x:t xml:space="preserve">시·군, 소방서, 문화시설, 인권·출연기관 사례</x:t>
  </x:si>
  <x:si>
    <x:t xml:space="preserve">시군, 소방서, 문화시설, 인권, 출연기관, 계약</x:t>
  </x:si>
  <x:si>
    <x:t xml:space="preserve">https://www.jeonnam.go.kr/T8636/boardList.do?displayHeader=&amp;infoReturn=&amp;menuId=jeonnam0105020000</x:t>
  </x:si>
  <x:si>
    <x:t xml:space="preserve">전남권 시·군, 출자출연기관, 농수산·보조금 감사자료</x:t>
  </x:si>
  <x:si>
    <x:t xml:space="preserve">시군, 출자출연, 농수산, 보조금, 감사사례집</x:t>
  </x:si>
  <x:si>
    <x:t xml:space="preserve">통합 전 전라남도 공식 감사자료 보존 페이지</x:t>
  </x:si>
  <x:si>
    <x:t xml:space="preserve">https://gb.go.kr/Main/page.do?URL=%2Fcommon%2Fboard%2Fboard.do&amp;BD_CODE=dept_news&amp;bdName=%EA%B0%90%EC%82%AC%EA%B2%B0%EA%B3%BC%EA%B3%B5%EA%B0%9C&amp;dept_code=6470002&amp;bbscode1=freebbs11&amp;cmd=1&amp;mnu_uid=8380</x:t>
  </x:si>
  <x:si>
    <x:t xml:space="preserve">시·군, 소방관서, 출자출연·공공기관 감사사례</x:t>
  </x:si>
  <x:si>
    <x:t xml:space="preserve">시군, 소방관서, 출자출연, 공공기관, 보조금</x:t>
  </x:si>
  <x:si>
    <x:t xml:space="preserve">https://www.gyeongnam.go.kr/gamsa/index.gyeong</x:t>
  </x:si>
  <x:si>
    <x:t xml:space="preserve">시·군, 사업소, 수산·공공기관 감사자료</x:t>
  </x:si>
  <x:si>
    <x:t xml:space="preserve">감사결과, 시군, 사업소, 수산, 공공기관</x:t>
  </x:si>
  <x:si>
    <x:t xml:space="preserve">감사위원회 메뉴에서 감사결과 공개 선택</x:t>
  </x:si>
  <x:si>
    <x:t xml:space="preserve">https://audit.jeju.go.kr/news/activity/result.htm</x:t>
  </x:si>
  <x:si>
    <x:t xml:space="preserve">행정시·공기업·의료원·문화시설·보조금 감사사례</x:t>
  </x:si>
  <x:si>
    <x:t xml:space="preserve">행정시, 보조금, 의료원, 공기업, 문화시설, 계약</x:t>
  </x:si>
  <x:si>
    <x:t xml:space="preserve">서울 자치구</x:t>
  </x:si>
  <x:si>
    <x:t xml:space="preserve">https://www.jongno.go.kr/portalMain.do</x:t>
  </x:si>
  <x:si>
    <x:t xml:space="preserve">자치구 감사자료 탐색용 공식 홈페이지</x:t>
  </x:si>
  <x:si>
    <x:t xml:space="preserve">감사결과, 자체감사, 종합감사, 특정감사, 계약, 보조금</x:t>
  </x:si>
  <x:si>
    <x:t xml:space="preserve">사이트 개편에 대비해 통합검색에서 ‘감사결과’ 입력</x:t>
  </x:si>
  <x:si>
    <x:t xml:space="preserve">https://www.junggu.seoul.kr/</x:t>
  </x:si>
  <x:si>
    <x:t xml:space="preserve">https://www.yongsan.go.kr/</x:t>
  </x:si>
  <x:si>
    <x:t xml:space="preserve">https://www.sd.go.kr/main/index.do</x:t>
  </x:si>
  <x:si>
    <x:t xml:space="preserve">https://www.gwangjin.go.kr/portal/pgm/online/list.do?ctgryCd=0104&amp;ctgryDetailCd=010401&amp;menuNo=200066</x:t>
  </x:si>
  <x:si>
    <x:t xml:space="preserve">자치구 본청·동주민센터·시설공단·재단 감사사례 확인</x:t>
  </x:si>
  <x:si>
    <x:t xml:space="preserve">계약, 보조금, 동주민센터, 시설공단, 복지, 복무, 채용</x:t>
  </x:si>
  <x:si>
    <x:t xml:space="preserve">자치구 실무 연찬 우선</x:t>
  </x:si>
  <x:si>
    <x:t xml:space="preserve">https://www.ddm.go.kr/www/selectBbsNttList.do?bbsNo=158&amp;integrDeptCode=&amp;key=563</x:t>
  </x:si>
  <x:si>
    <x:t xml:space="preserve">https://www.jungnang.go.kr/portal/main.do</x:t>
  </x:si>
  <x:si>
    <x:t xml:space="preserve">https://www.sb.go.kr/www/selectBbsNttList.do?bbsNo=27&amp;key=5922</x:t>
  </x:si>
  <x:si>
    <x:t xml:space="preserve">https://www.gangbuk.go.kr/www/index.do</x:t>
  </x:si>
  <x:si>
    <x:t xml:space="preserve">https://www.dobong.go.kr/</x:t>
  </x:si>
  <x:si>
    <x:t xml:space="preserve">https://www.nowon.kr/</x:t>
  </x:si>
  <x:si>
    <x:t xml:space="preserve">https://www.ep.go.kr/www/index.do</x:t>
  </x:si>
  <x:si>
    <x:t xml:space="preserve">https://www.sdm.go.kr/clean/inspect/result.do</x:t>
  </x:si>
  <x:si>
    <x:t xml:space="preserve">https://www.mapo.go.kr/site/main/home</x:t>
  </x:si>
  <x:si>
    <x:t xml:space="preserve">https://www.yangcheon.go.kr/site/yangcheon/main.do</x:t>
  </x:si>
  <x:si>
    <x:t xml:space="preserve">https://www.gangseo.seoul.kr/index</x:t>
  </x:si>
  <x:si>
    <x:t xml:space="preserve">https://www.guro.go.kr/upright/selectBbsNttList.do?bbsNo=593&amp;key=1532</x:t>
  </x:si>
  <x:si>
    <x:t xml:space="preserve">https://www.geumcheon.go.kr/portal/index.do</x:t>
  </x:si>
  <x:si>
    <x:t xml:space="preserve">https://www.ydp.go.kr/www/selectBbsNttList.do?bbsNo=33&amp;key=2821</x:t>
  </x:si>
  <x:si>
    <x:t xml:space="preserve">https://www.dongjak.go.kr/portal/bbs/B0000712/list.do?menuNo=200208</x:t>
  </x:si>
  <x:si>
    <x:t xml:space="preserve">https://www.gwanak.go.kr/site/gwanak/main.do</x:t>
  </x:si>
  <x:si>
    <x:t xml:space="preserve">https://www.seocho.go.kr/site/seocho/ex/publicList/PublicListF.do</x:t>
  </x:si>
  <x:si>
    <x:t xml:space="preserve">게시판에서 ‘감사’ 검색 병행</x:t>
  </x:si>
  <x:si>
    <x:t xml:space="preserve">https://www.gangnam.go.kr/publicinfo/main.do</x:t>
  </x:si>
  <x:si>
    <x:t xml:space="preserve">https://www.songpa.go.kr/www/index.do</x:t>
  </x:si>
  <x:si>
    <x:t xml:space="preserve">https://www.gangdong.go.kr/newportal/</x:t>
  </x:si>
  <x:si>
    <x:t xml:space="preserve">시</x:t>
  </x:si>
  <x:si>
    <x:t xml:space="preserve">https://www.suwon.go.kr/web/board/BD_board.list.do?bbsCd=1137&amp;showSummaryYn=N</x:t>
  </x:si>
  <x:si>
    <x:t xml:space="preserve">감사·조사결과를 별도 게시판으로 공개</x:t>
  </x:si>
  <x:si>
    <x:t xml:space="preserve">종합감사, 계약, 회계, 복무, 조사</x:t>
  </x:si>
  <x:si>
    <x:t xml:space="preserve">2026-09-11</x:t>
  </x:si>
  <x:si>
    <x:t xml:space="preserve">https://www.yongin.go.kr/user/bbs/BD_selectBbsList.do?q_bbsCode=1093</x:t>
  </x:si>
  <x:si>
    <x:t xml:space="preserve">구분·분류·수감기관별 검색이 가능하고 자료 축적량이 많음</x:t>
  </x:si>
  <x:si>
    <x:t xml:space="preserve">동 감사, 공공기관, 건설현장, 계약, 회계, 특정감사</x:t>
  </x:si>
  <x:si>
    <x:t xml:space="preserve">연찬자료 검색 편의성이 매우 높음</x:t>
  </x:si>
  <x:si>
    <x:t xml:space="preserve">https://www.goyang.go.kr/</x:t>
  </x:si>
  <x:si>
    <x:t xml:space="preserve">공식 홈페이지에서 감사관·감사결과 관련 메뉴 검색 필요</x:t>
  </x:si>
  <x:si>
    <x:t xml:space="preserve">감사결과, 자체감사, 종합감사</x:t>
  </x:si>
  <x:si>
    <x:t xml:space="preserve">직접 감사결과 목록 URL은 재확인 필요</x:t>
  </x:si>
  <x:si>
    <x:t xml:space="preserve">https://www.hscity.go.kr/www/user/bbs/BD_selectBbsList.do?q_bbsCode=1115</x:t>
  </x:si>
  <x:si>
    <x:t xml:space="preserve">읍면동·사업소·출연기관·특정감사 등 최근 감사결과 공개</x:t>
  </x:si>
  <x:si>
    <x:t xml:space="preserve">종합감사, 출연기관, 특정감사, 계약, 회계</x:t>
  </x:si>
  <x:si>
    <x:t xml:space="preserve">https://www.seongnam.go.kr/city/1001145/30084/bbsList.do</x:t>
  </x:si>
  <x:si>
    <x:t xml:space="preserve">감사사례 공개 목적에 예방감사·유사업무 담당자 활용 취지를 명시</x:t>
  </x:si>
  <x:si>
    <x:t xml:space="preserve">종합감사, 출연기관, 복지, 계약, 회계</x:t>
  </x:si>
  <x:si>
    <x:t xml:space="preserve">직원 예방감사 연찬 취지와 잘 맞음</x:t>
  </x:si>
  <x:si>
    <x:t xml:space="preserve">https://www.bucheon.go.kr/site/program/board/basicboard/list?boardtypeid=26716&amp;menuid=148004003004&amp;pagesize=10</x:t>
  </x:si>
  <x:si>
    <x:t xml:space="preserve">감사담당관이 특정감사 계획·결과를 사전정보공표에 지속 게시</x:t>
  </x:si>
  <x:si>
    <x:t xml:space="preserve">특정감사, 공유재산, 보조사업, 산하기관, 민간위탁</x:t>
  </x:si>
  <x:si>
    <x:t xml:space="preserve">목록에서 '감사담당관' 또는 '감사 결과' 검색 권장</x:t>
  </x:si>
  <x:si>
    <x:t xml:space="preserve">https://www.nyj.go.kr/www/selectTnBeffatInfoPublictListU.do?key=2407&amp;sc3=10</x:t>
  </x:si>
  <x:si>
    <x:t xml:space="preserve">감사실시계획·감사결과 바로가기를 사전정보공표에서 제공</x:t>
  </x:si>
  <x:si>
    <x:t xml:space="preserve">종합감사, 지적사항, 처분요구, 특정감사</x:t>
  </x:si>
  <x:si>
    <x:t xml:space="preserve">https://www.ansan.go.kr/www/common/bbs/selectPageListBbs.do?bbs_code=WWW07&amp;key=NEO&amp;sch_text=%EA%B0%90%EC%82%AC%EA%B4%80&amp;sch_type=register_nm</x:t>
  </x:si>
  <x:si>
    <x:t xml:space="preserve">감사관 등록자료를 부서자료실에서 일괄 조회 가능</x:t>
  </x:si>
  <x:si>
    <x:t xml:space="preserve">감사결과, 감사계획, 특정감사, 청렴</x:t>
  </x:si>
  <x:si>
    <x:t xml:space="preserve">https://www.pyeongtaek.go.kr/</x:t>
  </x:si>
  <x:si>
    <x:t xml:space="preserve">공식 홈페이지에서 감사 관련 메뉴·자료 검색 필요</x:t>
  </x:si>
  <x:si>
    <x:t xml:space="preserve">감사결과, 종합감사, 자체감사</x:t>
  </x:si>
  <x:si>
    <x:t xml:space="preserve">https://www.anyang.go.kr/main/selectBbsNttList.do?bbsNo=44&amp;key=219</x:t>
  </x:si>
  <x:si>
    <x:t xml:space="preserve">복지관·재단·체육회·동 등 감사결과 공개</x:t>
  </x:si>
  <x:si>
    <x:t xml:space="preserve">출연기관, 복지시설, 동 감사, 계약, 회계</x:t>
  </x:si>
  <x:si>
    <x:t xml:space="preserve">https://www.siheung.go.kr/</x:t>
  </x:si>
  <x:si>
    <x:t xml:space="preserve">공식 홈페이지에 '감사결과 공개' 메뉴가 확인되나 검색 결과가 대표주소로 연결됨</x:t>
  </x:si>
  <x:si>
    <x:t xml:space="preserve">감사결과, 청렴, 종합감사, 특정감사</x:t>
  </x:si>
  <x:si>
    <x:t xml:space="preserve">대표홈페이지에서 메뉴명으로 접근</x:t>
  </x:si>
  <x:si>
    <x:t xml:space="preserve">https://www.paju.go.kr/user/board/BD_board.list.do?bbsCd=9027</x:t>
  </x:si>
  <x:si>
    <x:t xml:space="preserve">민간위탁·보조금·도시건설·기관운영 등 분야별 분류가 잘 되어 있음</x:t>
  </x:si>
  <x:si>
    <x:t xml:space="preserve">민간위탁, 보조금, 도시·건설, 기관운영, 계약</x:t>
  </x:si>
  <x:si>
    <x:t xml:space="preserve">연찬용 분류 체계가 특히 유용</x:t>
  </x:si>
  <x:si>
    <x:t xml:space="preserve">https://www.gimpo.go.kr/portal/selectBbsNttList.do?bbsNo=202&amp;deleteAt=N&amp;key=1100</x:t>
  </x:si>
  <x:si>
    <x:t xml:space="preserve">감사정보공개 전용 목록 운영</x:t>
  </x:si>
  <x:si>
    <x:t xml:space="preserve">종합감사, 특정감사, 계약, 보조금, 복무</x:t>
  </x:si>
  <x:si>
    <x:t xml:space="preserve">https://www.ui4u.go.kr/portal/staff/list.do?deptCode=38200970000&amp;mId=0505010200</x:t>
  </x:si>
  <x:si>
    <x:t xml:space="preserve">감사담당관 업무와 자체감사 담당 확인 가능; 결과자료는 홈페이지 내 추가 검색 필요</x:t>
  </x:si>
  <x:si>
    <x:t xml:space="preserve">감사결과, 자체감사, 감사담당관</x:t>
  </x:si>
  <x:si>
    <x:t xml:space="preserve">https://www.gjcity.go.kr/portal/bbs/list.do?ptIdx=30&amp;mId=0314010000</x:t>
  </x:si>
  <x:si>
    <x:t xml:space="preserve">감사행정공개 전용 게시판에 종합감사·특정감사 결과 축적</x:t>
  </x:si>
  <x:si>
    <x:t xml:space="preserve">종합감사, 특정감사, 읍면동, 계약, 회계</x:t>
  </x:si>
  <x:si>
    <x:t xml:space="preserve">https://www.hanam.go.kr/www/selectBbsNttList.do?bbsNo=70&amp;key=3509</x:t>
  </x:si>
  <x:si>
    <x:t xml:space="preserve">동·출자출연기관·민간위탁 등 감사사례가 폭넓게 축적</x:t>
  </x:si>
  <x:si>
    <x:t xml:space="preserve">민간위탁, 도시공사, 문화재단, 동 감사, 회계</x:t>
  </x:si>
  <x:si>
    <x:t xml:space="preserve">사례 축적량이 많아 검색 가치가 높음</x:t>
  </x:si>
  <x:si>
    <x:t xml:space="preserve">https://www.gm.go.kr/pt/user/bbs/BD_selectBbsList.do?q_bbsCode=2055&amp;q_clCode=2</x:t>
  </x:si>
  <x:si>
    <x:t xml:space="preserve">열린감사 내 감사결과 전용 게시판 운영</x:t>
  </x:si>
  <x:si>
    <x:t xml:space="preserve">종합감사, 특정감사, 공공기관, 복무, 계약</x:t>
  </x:si>
  <x:si>
    <x:t xml:space="preserve">https://www.gunpo.go.kr/www/contents.do?key=4191</x:t>
  </x:si>
  <x:si>
    <x:t xml:space="preserve">군포시 자체 감사결과를 먼저 확인하고 타 기관 사례와 비교하는 기준점</x:t>
  </x:si>
  <x:si>
    <x:t xml:space="preserve">자체감사, 종합감사, 특정감사, 처분요구</x:t>
  </x:si>
  <x:si>
    <x:t xml:space="preserve">내부 연찬 시 동일·유사업무 우선 비교</x:t>
  </x:si>
  <x:si>
    <x:t xml:space="preserve">https://lll.yangju.go.kr/www/selectBbsNttList.do?bbsNo=28&amp;key=226</x:t>
  </x:si>
  <x:si>
    <x:t xml:space="preserve">감사계획 및 결과 게시판 운영</x:t>
  </x:si>
  <x:si>
    <x:t xml:space="preserve">감사계획, 감사결과, 종합감사, 특정감사</x:t>
  </x:si>
  <x:si>
    <x:t xml:space="preserve">https://www.osan.go.kr/</x:t>
  </x:si>
  <x:si>
    <x:t xml:space="preserve">공식 홈페이지에서 감사담당관·감사결과 관련 자료 검색 필요</x:t>
  </x:si>
  <x:si>
    <x:t xml:space="preserve">감사결과, 자체감사, 특정감사</x:t>
  </x:si>
  <x:si>
    <x:t xml:space="preserve">https://www.icheon.go.kr/</x:t>
  </x:si>
  <x:si>
    <x:t xml:space="preserve">2026년 읍면 종합감사 결과 등 공개자료가 공식 홈페이지 검색에서 확인됨</x:t>
  </x:si>
  <x:si>
    <x:t xml:space="preserve">종합감사 결과, 읍면 감사, 감사법무담당관</x:t>
  </x:si>
  <x:si>
    <x:t xml:space="preserve">홈페이지 통합검색 활용 권장</x:t>
  </x:si>
  <x:si>
    <x:t xml:space="preserve">https://www.anseong.go.kr/portal/auditPlanResult/list.do?mId=0402020000</x:t>
  </x:si>
  <x:si>
    <x:t xml:space="preserve">감사계획과 결과를 한 게시판에서 연속적으로 확인 가능</x:t>
  </x:si>
  <x:si>
    <x:t xml:space="preserve">감사계획, 종합감사, 특정감사, 출연기관</x:t>
  </x:si>
  <x:si>
    <x:t xml:space="preserve">https://www.guri.go.kr/www/selectBbsNttList.do?bbsNo=17&amp;key=343</x:t>
  </x:si>
  <x:si>
    <x:t xml:space="preserve">공개감사 및 결과공지 전용 게시판 운영</x:t>
  </x:si>
  <x:si>
    <x:t xml:space="preserve">종합감사, 특정감사, 공공기관, 계약, 회계</x:t>
  </x:si>
  <x:si>
    <x:t xml:space="preserve">https://www.uiwang.go.kr/UWKOROPEN0701</x:t>
  </x:si>
  <x:si>
    <x:t xml:space="preserve">감사결과 공개 전용 화면 운영</x:t>
  </x:si>
  <x:si>
    <x:t xml:space="preserve">감사결과, 종합감사, 특정감사, 계약</x:t>
  </x:si>
  <x:si>
    <x:t xml:space="preserve">https://www.pocheon.go.kr/</x:t>
  </x:si>
  <x:si>
    <x:t xml:space="preserve">감사결과 공개 원칙은 확인되나 직접 목록은 공식 홈페이지에서 추가 검색 필요</x:t>
  </x:si>
  <x:si>
    <x:t xml:space="preserve">감사결과, 감사담당관, 종합감사</x:t>
  </x:si>
  <x:si>
    <x:t xml:space="preserve">감사 종료 후 결과 공개 원칙 확인</x:t>
  </x:si>
  <x:si>
    <x:t xml:space="preserve">군</x:t>
  </x:si>
  <x:si>
    <x:t xml:space="preserve">https://www.yp21.go.kr/www/selectBbsNttList.do?bbsNo=46&amp;key=1600</x:t>
  </x:si>
  <x:si>
    <x:t xml:space="preserve">감사결과 전용 게시판에 최근 자료 지속 게시</x:t>
  </x:si>
  <x:si>
    <x:t xml:space="preserve">종합감사, 특정감사, 읍면, 공공기관</x:t>
  </x:si>
  <x:si>
    <x:t xml:space="preserve">https://www.yeoju.go.kr/</x:t>
  </x:si>
  <x:si>
    <x:t xml:space="preserve">공식 홈페이지에서 감사결과 관련 자료 검색 필요</x:t>
  </x:si>
  <x:si>
    <x:t xml:space="preserve">감사결과, 종합감사, 특정감사</x:t>
  </x:si>
  <x:si>
    <x:t xml:space="preserve">https://www.ddc.go.kr/</x:t>
  </x:si>
  <x:si>
    <x:t xml:space="preserve">https://www.gccity.go.kr/portal/bbs/list.do?mId=0201080000&amp;ptIdx=214</x:t>
  </x:si>
  <x:si>
    <x:t xml:space="preserve">감사결과 공개 전용 게시판 운영</x:t>
  </x:si>
  <x:si>
    <x:t xml:space="preserve">종합감사, 특정감사, 산하기관, 계약</x:t>
  </x:si>
  <x:si>
    <x:t xml:space="preserve">https://www.gp.go.kr/portal/selectBbsNttList.do?bbsNo=77&amp;key=448</x:t>
  </x:si>
  <x:si>
    <x:t xml:space="preserve">감사행정공개 전용 게시판 운영</x:t>
  </x:si>
  <x:si>
    <x:t xml:space="preserve">종합감사, 특정감사, 읍면, 보조금</x:t>
  </x:si>
  <x:si>
    <x:t xml:space="preserve">https://www.yeoncheon.go.kr/www/selectBbsNttList.do?bbsNo=190&amp;key=3335</x:t>
  </x:si>
  <x:si>
    <x:t xml:space="preserve">감사결과공개 전용 게시판 운영</x:t>
  </x:si>
  <x:si>
    <x:t xml:space="preserve">종합감사, 특정감사, 읍면, 계약, 회계</x:t>
  </x:si>
  <x:si>
    <x:t xml:space="preserve">감사사례 연찬 우선기관</x:t>
  </x:si>
  <x:si>
    <x:t xml:space="preserve">※ 군포시 실무 관련성·자료 축적도·검색 편의성을 기준으로 선정 | 중앙·광역·서울 자치구를 함께 비교</x:t>
  </x:si>
  <x:si>
    <x:t xml:space="preserve">순위</x:t>
  </x:si>
  <x:si>
    <x:t xml:space="preserve">기관</x:t>
  </x:si>
  <x:si>
    <x:t xml:space="preserve">추천 이유</x:t>
  </x:si>
  <x:si>
    <x:t xml:space="preserve">우선 검색 분야</x:t>
  </x:si>
  <x:si>
    <x:t xml:space="preserve">중앙·지방·공공기관 전 분야의 기준이 되는 감사결과가 가장 폭넓음</x:t>
  </x:si>
  <x:si>
    <x:t xml:space="preserve">계약·보조금·인사·복무·공사·공유재산</x:t>
  </x:si>
  <x:si>
    <x:t xml:space="preserve">전국 자체감사 결과를 한곳에서 기관·키워드별로 통합 검색 가능</x:t>
  </x:si>
  <x:si>
    <x:t xml:space="preserve">기관명 + 계약·채용·복무·보조금·특정감사</x:t>
  </x:si>
  <x:si>
    <x:t xml:space="preserve">도·시군·공공기관 사례가 다양해 경기도 업무와 직접 비교하기 좋음</x:t>
  </x:si>
  <x:si>
    <x:t xml:space="preserve">시군 종합감사·출연기관·보조금·공사</x:t>
  </x:si>
  <x:si>
    <x:t xml:space="preserve">우리 시 실제 지적사례를 먼저 확인해 동일·유사 오류를 예방</x:t>
  </x:si>
  <x:si>
    <x:t xml:space="preserve">계약·회계·민간위탁·보조금·복무</x:t>
  </x:si>
  <x:si>
    <x:t xml:space="preserve">대도시·자치구·출연기관·민간위탁 등 복합 행정사례가 풍부</x:t>
  </x:si>
  <x:si>
    <x:t xml:space="preserve">민간위탁·출연기관·복지시설·공사·안전</x:t>
  </x:si>
  <x:si>
    <x:t xml:space="preserve">시군·교육지원청·공공기관 누적 자료가 많고 분야가 넓음</x:t>
  </x:si>
  <x:si>
    <x:t xml:space="preserve">시군·재무·건설행정·교육지원청·공공기관</x:t>
  </x:si>
  <x:si>
    <x:t xml:space="preserve">군구 종합감사와 공직유관단체·의료원 감사사례가 충실</x:t>
  </x:si>
  <x:si>
    <x:t xml:space="preserve">군구 종합감사·채용·의료원·보조금</x:t>
  </x:si>
  <x:si>
    <x:t xml:space="preserve">민간위탁·공사·지방세·출연기관 지적사례 비교에 유용</x:t>
  </x:si>
  <x:si>
    <x:t xml:space="preserve">민간위탁·공사현장·지방세·출연기관</x:t>
  </x:si>
  <x:si>
    <x:t xml:space="preserve">시군·건설본부·출연기관 감사결과가 체계적으로 축적</x:t>
  </x:si>
  <x:si>
    <x:t xml:space="preserve">시군·건설본부·출연기관·계약·보조금</x:t>
  </x:si>
  <x:si>
    <x:t xml:space="preserve">행정시·공기업·의료원·문화시설 등 기관유형이 다양</x:t>
  </x:si>
  <x:si>
    <x:t xml:space="preserve">행정시·의료원·공기업·문화시설·보조금</x:t>
  </x:si>
  <x:si>
    <x:t xml:space="preserve">구군·공사공단·출자출연기관 감사사례가 풍부</x:t>
  </x:si>
  <x:si>
    <x:t xml:space="preserve">공유재산·공무국외출장·재정지원·공사</x:t>
  </x:si>
  <x:si>
    <x:t xml:space="preserve">전남광주통합특별시(광주권 감사자료)</x:t>
  </x:si>
  <x:si>
    <x:t xml:space="preserve">자치구·공사·복지시설·보조금 관련 광주권 기존 사례가 풍부</x:t>
  </x:si>
  <x:si>
    <x:t xml:space="preserve">자치구·복지시설·보조금·공사·안전</x:t>
  </x:si>
  <x:si>
    <x:t xml:space="preserve">대규모 도시개발·계약·공사·보조금 사례 연찬에 적합</x:t>
  </x:si>
  <x:si>
    <x:t xml:space="preserve">접근성이 좋고 계약·공사·보조금 사례 검색이 편리</x:t>
  </x:si>
  <x:si>
    <x:t xml:space="preserve">개발사업·민간위탁·시설관리 관련 비교 사례에 유용</x:t>
  </x:si>
  <x:si>
    <x:t xml:space="preserve">특례시 규모의 계약·공사·인허가·산하기관 사례가 다양</x:t>
  </x:si>
  <x:si>
    <x:t xml:space="preserve">출연기관·복지·공사·계약 사례가 다양</x:t>
  </x:si>
  <x:si>
    <x:t xml:space="preserve">도시개발·계약·보조금·공유재산 사례 비교에 유용</x:t>
  </x:si>
  <x:si>
    <x:t xml:space="preserve">감사결과 전용게시판이 명확하고 자치구 사례 확인이 쉬움</x:t>
  </x:si>
  <x:si>
    <x:t xml:space="preserve">동주민센터·복지·시설공단 등 생활행정 사례가 풍부</x:t>
  </x:si>
  <x:si>
    <x:t xml:space="preserve">감사실시결과 게시판이 명확해 실무자가 탐색하기 쉬움</x:t>
  </x:si>
  <x:si>
    <x:t xml:space="preserve">감사실시 결과를 지속 공개해 자치구 비교 연찬에 유용</x:t>
  </x:si>
  <x:si>
    <x:t xml:space="preserve">구청·동주민센터·산하기관 관련 사례 확인에 유용</x:t>
  </x:si>
  <x:si>
    <x:t xml:space="preserve">도시행정·복지·계약 분야 자치구 사례 비교에 유용</x:t>
  </x:si>
  <x:si>
    <x:t xml:space="preserve">분야별 감사사례 검색 키워드</x:t>
  </x:si>
  <x:si>
    <x:t xml:space="preserve">※ 감사원·공공감사정보시스템·전국 광역·기초자치단체 게시판에서 아래 키워드를 조합하여 검색</x:t>
  </x:si>
  <x:si>
    <x:t xml:space="preserve">분야</x:t>
  </x:si>
  <x:si>
    <x:t xml:space="preserve">활용 예시</x:t>
  </x:si>
  <x:si>
    <x:t xml:space="preserve">검색 팁</x:t>
  </x:si>
  <x:si>
    <x:t xml:space="preserve">계약·회계</x:t>
  </x:si>
  <x:si>
    <x:t xml:space="preserve">수의계약, 분할계약, 1인 견적, 계약심사, 설계변경, 준공검사, 선금, 계약보증, 지역개발채권</x:t>
  </x:si>
  <x:si>
    <x:t xml:space="preserve">회계과·사업부서 계약업무, 특정감사 준비</x:t>
  </x:si>
  <x:si>
    <x:t xml:space="preserve">핵심어 1개 → 기관/업무명 추가 → 연도 또는 '특정감사·종합감사' 추가</x:t>
  </x:si>
  <x:si>
    <x:t xml:space="preserve">공사·용역</x:t>
  </x:si>
  <x:si>
    <x:t xml:space="preserve">설계변경, 공사감독, 준공검사, 하자, 안전관리, 기술인 배치, 용역검수, 과업변경</x:t>
  </x:si>
  <x:si>
    <x:t xml:space="preserve">시설공사 및 용역 지도·감독</x:t>
  </x:si>
  <x:si>
    <x:t xml:space="preserve">지방보조금</x:t>
  </x:si>
  <x:si>
    <x:t xml:space="preserve">보조금, 정산, 목적 외 사용, 자부담, 보조사업자 선정, 성과평가, 반환</x:t>
  </x:si>
  <x:si>
    <x:t xml:space="preserve">지방보조사업 부서 및 보조사업자 관리</x:t>
  </x:si>
  <x:si>
    <x:t xml:space="preserve">민간위탁</x:t>
  </x:si>
  <x:si>
    <x:t xml:space="preserve">민간위탁, 위탁금, 정산, 지도·감독, 재계약, 성과평가, 수탁기관</x:t>
  </x:si>
  <x:si>
    <x:t xml:space="preserve">복지·문화·체육 등 위탁시설</x:t>
  </x:si>
  <x:si>
    <x:t xml:space="preserve">인사·채용</x:t>
  </x:si>
  <x:si>
    <x:t xml:space="preserve">공정채용, 기간제근로자, 서류전형, 면접위원, 외부위원, 응시자격, 경력인정, 채용서류</x:t>
  </x:si>
  <x:si>
    <x:t xml:space="preserve">공무직·기간제·출연기관 채용</x:t>
  </x:si>
  <x:si>
    <x:t xml:space="preserve">복무</x:t>
  </x:si>
  <x:si>
    <x:t xml:space="preserve">출장, 초과근무, 휴가, 공가, 겸직, 외부강의, 근무상황, 시간외근무</x:t>
  </x:si>
  <x:si>
    <x:t xml:space="preserve">전 부서 복무 점검</x:t>
  </x:si>
  <x:si>
    <x:t xml:space="preserve">공유재산</x:t>
  </x:si>
  <x:si>
    <x:t xml:space="preserve">공유재산, 사용허가, 대부, 변상금, 무단점유, 사용료, 매각, 관리위탁</x:t>
  </x:si>
  <x:si>
    <x:t xml:space="preserve">재산관리 및 사업부서</x:t>
  </x:si>
  <x:si>
    <x:t xml:space="preserve">세입·세출</x:t>
  </x:si>
  <x:si>
    <x:t xml:space="preserve">세외수입, 과오납, 세입조치, 지출, 업무추진비, 법인카드, 일상경비, 세입세출외현금</x:t>
  </x:si>
  <x:si>
    <x:t xml:space="preserve">회계·세무·각 부서 경리업무</x:t>
  </x:si>
  <x:si>
    <x:t xml:space="preserve">사회복지</x:t>
  </x:si>
  <x:si>
    <x:t xml:space="preserve">사회복지시설, 종사자 인건비, 보조금, 시설회계, 후원금, 급여, 수당</x:t>
  </x:si>
  <x:si>
    <x:t xml:space="preserve">복지시설·보조사업 지도감독</x:t>
  </x:si>
  <x:si>
    <x:t xml:space="preserve">인허가</x:t>
  </x:si>
  <x:si>
    <x:t xml:space="preserve">건축허가, 개발행위, 도로점용, 농지전용, 산지전용, 행정처분, 부담금, 이행강제금</x:t>
  </x:si>
  <x:si>
    <x:t xml:space="preserve">인허가 부서 사전점검</x:t>
  </x:si>
  <x:si>
    <x:t xml:space="preserve">개인정보·정보공개</x:t>
  </x:si>
  <x:si>
    <x:t xml:space="preserve">개인정보, 목적 외 이용, 보유기간, 정보공개, 비공개, 제3자 의견청취</x:t>
  </x:si>
  <x:si>
    <x:t xml:space="preserve">민원·정보공개·자료제출</x:t>
  </x:si>
  <x:si>
    <x:t xml:space="preserve">공직기강·청렴</x:t>
  </x:si>
  <x:si>
    <x:t xml:space="preserve">행동강령, 이해충돌, 금품수수, 갑질, 직장 내 괴롭힘, 공직기강, 외부강의</x:t>
  </x:si>
  <x:si>
    <x:t xml:space="preserve">감사실 조사·청렴업무</x:t>
  </x:si>
  <x:si>
    <x:t xml:space="preserve">적극행정·사전컨설팅</x:t>
  </x:si>
  <x:si>
    <x:t xml:space="preserve">사전컨설팅, 적극행정, 면책, 법령해석, 재량, 규제, 책임회피</x:t>
  </x:si>
  <x:si>
    <x:t xml:space="preserve">사전컨설팅 검토 및 면책 판단</x:t>
  </x:si>
  <x:si>
    <x:t xml:space="preserve">도시개발·정비</x:t>
  </x:si>
  <x:si>
    <x:t xml:space="preserve">도시계획, 정비사업, 재개발, 도시개발, 기부채납, 기반시설, 부담금, 용도지역</x:t>
  </x:si>
  <x:si>
    <x:t xml:space="preserve">대도시·특례시 개발사업과 인허가·기부채납 처리 점검</x:t>
  </x:si>
  <x:si>
    <x:t xml:space="preserve">사업명과 ‘협약·변경·정산·기부채납’을 조합</x:t>
  </x:si>
  <x:si>
    <x:t xml:space="preserve">공공기관·출연기관</x:t>
  </x:si>
  <x:si>
    <x:t xml:space="preserve">출자출연기관, 지방공기업, 기관운영, 경영평가, 임직원 채용, 수당, 성과급</x:t>
  </x:si>
  <x:si>
    <x:t xml:space="preserve">공사·공단·재단의 채용·복무·보수·계약 사례 확인</x:t>
  </x:si>
  <x:si>
    <x:t xml:space="preserve">기관유형과 ‘채용·수당·계약’을 함께 검색</x:t>
  </x:si>
  <x:si>
    <x:t xml:space="preserve">주민센터·자치구</x:t>
  </x:si>
  <x:si>
    <x:t xml:space="preserve">동주민센터, 주민자치회, 자치회관, 주민참여예산, 프로그램 강사, 수강료, 직능단체</x:t>
  </x:si>
  <x:si>
    <x:t xml:space="preserve">동 행정과 주민자치·자치회관 운영의 반복 지적 예방</x:t>
  </x:si>
  <x:si>
    <x:t xml:space="preserve">서울 자치구 게시판에서 ‘동주민센터’를 우선 검색</x:t>
  </x:si>
  <x:si>
    <x:t xml:space="preserve">재난·안전</x:t>
  </x:si>
  <x:si>
    <x:t xml:space="preserve">안전점검, 재난관리, 중대재해, 시설물, 비상근무, 행동매뉴얼, 안전관리자</x:t>
  </x:si>
  <x:si>
    <x:t xml:space="preserve">재난대응·시설물 점검·안전관리 의무 이행 확인</x:t>
  </x:si>
  <x:si>
    <x:t xml:space="preserve">시설명과 ‘점검·매뉴얼·안전관리자’를 조합</x:t>
  </x:si>
  <x:si>
    <x:t xml:space="preserve">지방세·세외수입</x:t>
  </x:si>
  <x:si>
    <x:t xml:space="preserve">지방세, 세외수입, 체납, 과오납, 감면, 부과, 징수, 압류, 결손처분</x:t>
  </x:si>
  <x:si>
    <x:t xml:space="preserve">부과 누락·감면 오류·체납처분 소홀 사례 확인</x:t>
  </x:si>
  <x:si>
    <x:t xml:space="preserve">세목명과 ‘감면·체납·결손’을 함께 검색</x:t>
  </x:si>
</x:sst>
</file>

<file path=xl/styles.xml><?xml version="1.0" encoding="utf-8"?>
<x:styleSheet xmlns:x="http://schemas.openxmlformats.org/spreadsheetml/2006/main">
  <x:fonts count="20">
    <x:font>
      <x:sz val="11"/>
      <x:name val="Carlito"/>
    </x:font>
    <x:font>
      <x:sz val="11"/>
      <x:name val="Carlito"/>
    </x:font>
    <x:font>
      <x:u val="single"/>
      <x:sz val="11"/>
      <x:color theme="10"/>
      <x:name val="Carlito"/>
    </x:font>
    <x:font>
      <x:b/>
      <x:sz val="16"/>
      <x:color rgb="FFFFFFFF"/>
      <x:name val="맑은 고딕"/>
      <x:family val="3"/>
    </x:font>
    <x:font>
      <x:b/>
      <x:sz val="11"/>
      <x:color rgb="FF1F1F1F"/>
      <x:name val="맑은 고딕"/>
      <x:family val="3"/>
    </x:font>
    <x:font>
      <x:b/>
      <x:sz val="11"/>
      <x:color rgb="FFFFFFFF"/>
      <x:name val="맑은 고딕"/>
      <x:family val="3"/>
    </x:font>
    <x:font>
      <x:sz val="10.5"/>
      <x:color rgb="FF1F1F1F"/>
      <x:name val="맑은 고딕"/>
      <x:family val="3"/>
    </x:font>
    <x:font>
      <x:b/>
      <x:sz val="10.5"/>
      <x:color rgb="FF0070C0"/>
      <x:name val="맑은 고딕"/>
      <x:family val="3"/>
    </x:font>
    <x:font>
      <x:sz val="9.5"/>
      <x:color rgb="FF0070C0"/>
      <x:name val="맑은 고딕"/>
      <x:family val="3"/>
    </x:font>
    <x:font>
      <x:u val="single"/>
      <x:sz val="9.5"/>
      <x:color rgb="FF0070C0"/>
      <x:name val="맑은 고딕"/>
      <x:family val="3"/>
    </x:font>
    <x:font>
      <x:b/>
      <x:sz val="10.5"/>
      <x:color rgb="FF1F4E78"/>
      <x:name val="맑은 고딕"/>
      <x:family val="3"/>
    </x:font>
    <x:font>
      <x:sz val="8"/>
      <x:name val="돋움"/>
      <x:family val="3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375623"/>
      <x:name val="Carlito"/>
    </x:font>
    <x:font>
      <x:b/>
      <x:sz val="9"/>
      <x:color rgb="FF7F6000"/>
      <x:name val="Carlito"/>
    </x:font>
    <x:font>
      <x:b/>
      <x:sz val="9"/>
      <x:color rgb="FF9C0006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5F9F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2">
    <x:border>
      <x:left/>
      <x:right/>
      <x:top/>
      <x:bottom/>
      <x:diagonal/>
    </x:border>
    <x:border>
      <x:left style="thin">
        <x:color rgb="FFB4C6E7"/>
      </x:left>
      <x:right/>
      <x:top style="thin">
        <x:color rgb="FFB4C6E7"/>
      </x:top>
      <x:bottom style="thin">
        <x:color rgb="FFB4C6E7"/>
      </x:bottom>
      <x:diagonal/>
    </x:border>
    <x:border>
      <x:left/>
      <x:right/>
      <x:top style="thin">
        <x:color rgb="FFB4C6E7"/>
      </x:top>
      <x:bottom style="thin">
        <x:color rgb="FFB4C6E7"/>
      </x:bottom>
      <x:diagonal/>
    </x:border>
    <x:border>
      <x:left/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B4C6E7"/>
      </x:left>
      <x:right/>
      <x:top style="thin">
        <x:color rgb="FFB4C6E7"/>
      </x:top>
      <x:bottom/>
      <x:diagonal/>
    </x:border>
    <x:border>
      <x:left/>
      <x:right/>
      <x:top style="thin">
        <x:color rgb="FFB4C6E7"/>
      </x:top>
      <x:bottom/>
      <x:diagonal/>
    </x:border>
    <x:border>
      <x:left/>
      <x:right style="thin">
        <x:color rgb="FFB4C6E7"/>
      </x:right>
      <x:top style="thin">
        <x:color rgb="FFB4C6E7"/>
      </x:top>
      <x:bottom/>
      <x:diagonal/>
    </x:border>
    <x:border>
      <x:left style="thin">
        <x:color rgb="FFB4C6E7"/>
      </x:left>
      <x:right/>
      <x:top/>
      <x:bottom/>
      <x:diagonal/>
    </x:border>
    <x:border>
      <x:left/>
      <x:right style="thin">
        <x:color rgb="FFB4C6E7"/>
      </x:right>
      <x:top/>
      <x:bottom/>
      <x:diagonal/>
    </x:border>
    <x:border>
      <x:left style="thin">
        <x:color rgb="FFB4C6E7"/>
      </x:left>
      <x:right/>
      <x:top/>
      <x:bottom style="thin">
        <x:color rgb="FFB4C6E7"/>
      </x:bottom>
      <x:diagonal/>
    </x:border>
    <x:border>
      <x:left/>
      <x:right/>
      <x:top/>
      <x:bottom style="thin">
        <x:color rgb="FFB4C6E7"/>
      </x:bottom>
      <x:diagonal/>
    </x:border>
    <x:border>
      <x:left/>
      <x:right style="thin">
        <x:color rgb="FFB4C6E7"/>
      </x:right>
      <x:top/>
      <x:bottom style="thin">
        <x:color rgb="FFB4C6E7"/>
      </x:bottom>
      <x:diagonal/>
    </x:border>
  </x:borders>
  <x:cellStyleXfs count="3">
    <x:xf numFmtId="0" fontId="0" fillId="0" borderId="0"/>
    <x:xf numFmtId="0" fontId="1" fillId="0" borderId="0"/>
    <x:xf numFmtId="0" fontId="2" fillId="0" borderId="0" applyNumberFormat="0" applyFill="0" applyBorder="0" applyAlignment="0" applyProtection="0"/>
  </x:cellStyleXfs>
  <x:cellXfs count="67">
    <x:xf numFmtId="0" fontId="0" fillId="0" borderId="0" xfId="0"/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6" fillId="6" borderId="10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horizontal="center" vertical="center" wrapText="1"/>
    </x:xf>
    <x:xf numFmtId="0" fontId="7" fillId="6" borderId="8" xfId="0" applyNumberFormat="1" applyFont="1" applyFill="1" applyBorder="1" applyAlignment="1">
      <x:alignment horizontal="center" vertical="center" wrapText="1"/>
    </x:xf>
    <x:xf numFmtId="0" fontId="7" fillId="5" borderId="8" xfId="0" applyNumberFormat="1" applyFont="1" applyFill="1" applyBorder="1" applyAlignment="1">
      <x:alignment horizontal="center" vertical="center" wrapText="1"/>
    </x:xf>
    <x:xf numFmtId="0" fontId="7" fillId="6" borderId="11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0" fillId="5" borderId="4" xfId="0" applyNumberFormat="1" applyFont="1" applyFill="1" applyBorder="1" applyAlignment="1">
      <x:alignment horizontal="center" vertical="center" wrapText="1"/>
    </x:xf>
    <x:xf numFmtId="0" fontId="10" fillId="6" borderId="7" xfId="0" applyNumberFormat="1" applyFont="1" applyFill="1" applyBorder="1" applyAlignment="1">
      <x:alignment horizontal="center" vertical="center" wrapText="1"/>
    </x:xf>
    <x:xf numFmtId="0" fontId="10" fillId="5" borderId="7" xfId="0" applyNumberFormat="1" applyFont="1" applyFill="1" applyBorder="1" applyAlignment="1">
      <x:alignment horizontal="center" vertical="center" wrapText="1"/>
    </x:xf>
    <x:xf numFmtId="0" fontId="10" fillId="6" borderId="9" xfId="0" applyNumberFormat="1" applyFont="1" applyFill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5" fillId="4" borderId="2" xfId="0" applyNumberFormat="1" applyFont="1" applyFill="1" applyBorder="1" applyAlignment="1">
      <x:alignment horizontal="left" vertical="center" wrapText="1"/>
    </x:xf>
    <x:xf numFmtId="0" fontId="6" fillId="5" borderId="5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0" fontId="6" fillId="6" borderId="1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left"/>
    </x:xf>
    <x:xf numFmtId="0" fontId="13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horizontal="center" wrapText="1"/>
    </x:xf>
    <x:xf numFmtId="0" fontId="14" fillId="9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15" fillId="10" borderId="0" xfId="0" applyNumberFormat="1" applyFont="1" applyFill="1" applyBorder="1" applyAlignment="1">
      <x:alignment vertical="top" wrapText="1"/>
    </x:xf>
    <x:xf numFmtId="0" fontId="16" fillId="10" borderId="0" xfId="0" applyNumberFormat="1" applyFont="1" applyFill="1" applyBorder="1" applyAlignment="1">
      <x:alignment vertical="top" wrapText="1"/>
    </x:xf>
    <x:xf numFmtId="0" fontId="15" fillId="11" borderId="0" xfId="0" applyNumberFormat="1" applyFont="1" applyFill="1" applyBorder="1" applyAlignment="1">
      <x:alignment vertical="top" wrapText="1"/>
    </x:xf>
    <x:xf numFmtId="0" fontId="17" fillId="11" borderId="0" xfId="0" applyNumberFormat="1" applyFont="1" applyFill="1" applyBorder="1" applyAlignment="1">
      <x:alignment vertical="top" wrapText="1"/>
    </x:xf>
    <x:xf numFmtId="0" fontId="18" fillId="10" borderId="0" xfId="0" applyNumberFormat="1" applyFont="1" applyFill="1" applyBorder="1" applyAlignment="1">
      <x:alignment vertical="top" wrapText="1"/>
    </x:xf>
    <x:xf numFmtId="0" fontId="15" fillId="12" borderId="0" xfId="0" applyNumberFormat="1" applyFont="1" applyFill="1" applyBorder="1" applyAlignment="1">
      <x:alignment vertical="top" wrapText="1"/>
    </x:xf>
    <x:xf numFmtId="0" fontId="19" fillId="12" borderId="0" xfId="0" applyNumberFormat="1" applyFont="1" applyFill="1" applyBorder="1" applyAlignment="1">
      <x:alignment vertical="top" wrapText="1"/>
    </x:xf>
  </x:cellXfs>
  <x:cellStyles count="3">
    <x:cellStyle name="Normal" xfId="1"/>
    <x:cellStyle name="표준" xfId="0"/>
    <x:cellStyle name="하이퍼링크" xfId="2"/>
  </x:cellStyles>
  <x:dxfs count="15">
    <x:dxf/>
    <x:dxf/>
    <x:dxf/>
    <x:dxf/>
    <x:dxf/>
    <x:dxf/>
    <x:dxf/>
    <x:dxf/>
    <x:dxf/>
    <x:dxf/>
    <x:dxf/>
    <x:dxf/>
    <x:dxf>
      <x:font>
        <x:color rgb="FF843C0C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5fc9464f842e9" /><Relationship Type="http://schemas.openxmlformats.org/officeDocument/2006/relationships/theme" Target="/xl/theme/theme1.xml" Id="R4d6aa8e9c45243a7" /><Relationship Type="http://schemas.openxmlformats.org/officeDocument/2006/relationships/sharedStrings" Target="/xl/sharedStrings.xml" Id="Rd982203de5cd4b28" /><Relationship Type="http://schemas.openxmlformats.org/officeDocument/2006/relationships/worksheet" Target="/xl/worksheets/sheet1.xml" Id="Rf788106a578847d3" /><Relationship Type="http://schemas.openxmlformats.org/officeDocument/2006/relationships/worksheet" Target="/xl/worksheets/sheet2.xml" Id="R5c2290761c824815" /><Relationship Type="http://schemas.openxmlformats.org/officeDocument/2006/relationships/worksheet" Target="/xl/worksheets/sheet3.xml" Id="Rf247a74e1d3149e2" /><Relationship Type="http://schemas.openxmlformats.org/officeDocument/2006/relationships/worksheet" Target="/xl/worksheets/sheet4.xml" Id="Rdb964f9397e245ff" /><Relationship Type="http://schemas.openxmlformats.org/officeDocument/2006/relationships/worksheet" Target="/xl/worksheets/sheet5.xml" Id="R34add878ad8c4df2" /></Relationships>
</file>

<file path=xl/tables/table1.xml><?xml version="1.0" encoding="utf-8"?>
<x:table xmlns:x="http://schemas.openxmlformats.org/spreadsheetml/2006/main" id="3" name="ShortcutLinks" displayName="ShortcutLinks" ref="A4:E80" totalsRowShown="0">
  <x:autoFilter ref="A4:E80"/>
  <x:tableColumns count="5">
    <x:tableColumn id="1" name="No."/>
    <x:tableColumn id="2" name="기관명" dataDxfId="10"/>
    <x:tableColumn id="3" name="감사결과 메뉴"/>
    <x:tableColumn id="4" name="접근유형"/>
    <x:tableColumn id="5" name="바로가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AuditSources" displayName="AuditSources" ref="A4:K80" totalsRowShown="0">
  <x:autoFilter ref="A4:K80"/>
  <x:tableColumns count="11">
    <x:tableColumn id="1" name="No." dataDxfId="9"/>
    <x:tableColumn id="2" name="구분" dataDxfId="8"/>
    <x:tableColumn id="3" name="기관명" dataDxfId="7"/>
    <x:tableColumn id="4" name="감사결과 메뉴·게시판"/>
    <x:tableColumn id="5" name="링크 유형"/>
    <x:tableColumn id="6" name="공식 URL"/>
    <x:tableColumn id="7" name="연찬 활용도"/>
    <x:tableColumn id="8" name="공개·검색 특징"/>
    <x:tableColumn id="9" name="추천 검색어"/>
    <x:tableColumn id="10" name="확인일"/>
    <x:tableColumn id="1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PrioritySources" displayName="PrioritySources" ref="A4:E28" totalsRowShown="0" dataDxfId="3">
  <x:autoFilter ref="A4:E28"/>
  <x:tableColumns count="5">
    <x:tableColumn id="1" name="순위" dataDxfId="6"/>
    <x:tableColumn id="2" name="기관" dataDxfId="2"/>
    <x:tableColumn id="3" name="추천 이유" dataDxfId="0"/>
    <x:tableColumn id="4" name="우선 검색 분야" dataDxfId="1"/>
    <x:tableColumn id="5" name="바로가기" dataDxfId="5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KeywordGuide" displayName="KeywordGuide" ref="A4:D22" totalsRowShown="0">
  <x:autoFilter ref="A4:D22"/>
  <x:tableColumns count="4">
    <x:tableColumn id="1" name="분야" dataDxfId="11"/>
    <x:tableColumn id="2" name="추천 검색어"/>
    <x:tableColumn id="3" name="활용 예시"/>
    <x:tableColumn id="4" name="검색 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시범수집검증표" displayName="시범수집검증표" ref="A4:K10" headerRowCount="1" totalsRowCount="0" totalsRowShown="0">
  <x:tableColumns count="11">
    <x:tableColumn id="1" name="기관"/>
    <x:tableColumn id="2" name="목록"/>
    <x:tableColumn id="3" name="상세"/>
    <x:tableColumn id="4" name="첨부주소"/>
    <x:tableColumn id="5" name="실제 다운로드"/>
    <x:tableColumn id="6" name="PDF 검증"/>
    <x:tableColumn id="7" name="검증용 게시물"/>
    <x:tableColumn id="8" name="게시일"/>
    <x:tableColumn id="9" name="상세 URL"/>
    <x:tableColumn id="10" name="첨부 URL"/>
    <x:tableColumn id="11" name="최종 판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964b5672cf44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gg.go.kr/audit/bbs/board.do?bsIdx=886&amp;menuId=4272" TargetMode="External" Id="R40c71a0d38fd4358" /><Relationship Type="http://schemas.openxmlformats.org/officeDocument/2006/relationships/hyperlink" Target="https://www.yongin.go.kr/user/bbs/BD_selectBbsList.do?q_bbsCode=1093" TargetMode="External" Id="R16472c6cd39143a3" /><Relationship Type="http://schemas.openxmlformats.org/officeDocument/2006/relationships/table" Target="/xl/tables/table2.xml" Id="R5ed0717149f242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b03133c6f04a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62915f76cb347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b8a0561531c4ac1" /></Relationships>
</file>

<file path=xl/worksheets/sheet1.xml><?xml version="1.0" encoding="utf-8"?>
<x:worksheet xmlns:x="http://schemas.openxmlformats.org/spreadsheetml/2006/main">
  <x:sheetPr>
    <x:tabColor theme="6" tint="0.39998"/>
  </x:sheetPr>
  <x:sheetViews>
    <x:sheetView workbookViewId="0">
      <x:pane ySplit="4" topLeftCell="A5" activePane="bottomLeft" state="frozen"/>
    </x:sheetView>
  </x:sheetViews>
  <x:sheetFormatPr defaultRowHeight="14.25"/>
  <x:cols>
    <x:col min="1" max="1" width="7" customWidth="1"/>
    <x:col min="2" max="2" width="23.25" style="37" customWidth="1"/>
    <x:col min="3" max="3" width="42" customWidth="1"/>
    <x:col min="4" max="4" width="22" customWidth="1"/>
    <x:col min="5" max="5" width="12" customWidth="1"/>
  </x:cols>
  <x:sheetData>
    <x:row r="1" ht="27.950000762939453" customHeight="1">
      <x:c r="A1" s="31" t="s">
        <x:v>0</x:v>
      </x:c>
      <x:c r="B1" s="31"/>
      <x:c r="C1" s="31"/>
      <x:c r="D1" s="31"/>
      <x:c r="E1" s="31"/>
    </x:row>
    <x:row r="2" ht="32.099998474121094" customHeight="1">
      <x:c r="A2" s="32" t="s">
        <x:v>1</x:v>
      </x:c>
      <x:c r="B2" s="32"/>
      <x:c r="C2" s="32"/>
      <x:c r="D2" s="32"/>
      <x:c r="E2" s="32"/>
    </x:row>
    <x:row r="3" ht="8.100000381469727" customHeight="1"/>
    <x:row r="4" ht="27.950000762939453" customHeight="1">
      <x:c r="A4" s="1" t="s">
        <x:v>2</x:v>
      </x:c>
      <x:c r="B4" s="2" t="s">
        <x:v>3</x:v>
      </x:c>
      <x:c r="C4" s="2" t="s">
        <x:v>4</x:v>
      </x:c>
      <x:c r="D4" s="2" t="s">
        <x:v>5</x:v>
      </x:c>
      <x:c r="E4" s="3" t="s">
        <x:v>6</x:v>
      </x:c>
    </x:row>
    <x:row r="5" ht="30.950000762939453" customHeight="1">
      <x:c r="A5" s="4">
        <x:v>1</x:v>
      </x:c>
      <x:c r="B5" s="5" t="s">
        <x:v>7</x:v>
      </x:c>
      <x:c r="C5" s="6" t="s">
        <x:v>8</x:v>
      </x:c>
      <x:c r="D5" s="5" t="s">
        <x:v>9</x:v>
      </x:c>
      <x:c r="E5" s="19" t="e">
        <x:f>HYPERLINK("https://www.bai.go.kr/bai/result/branch/list/","열기")</x:f>
        <x:v>HYPERLINK is not implemented. linkLocation=https://www.bai.go.kr/bai/result/branch/list/, friendlyName=열기</x:v>
      </x:c>
    </x:row>
    <x:row r="6" ht="30.950000762939453" customHeight="1">
      <x:c r="A6" s="7">
        <x:v>2</x:v>
      </x:c>
      <x:c r="B6" s="8" t="s">
        <x:v>10</x:v>
      </x:c>
      <x:c r="C6" s="9" t="s">
        <x:v>11</x:v>
      </x:c>
      <x:c r="D6" s="8" t="s">
        <x:v>12</x:v>
      </x:c>
      <x:c r="E6" s="20" t="e">
        <x:f>HYPERLINK("https://pap.go.kr/selfAudit/resultPublic/","열기")</x:f>
        <x:v>HYPERLINK is not implemented. linkLocation=https://pap.go.kr/selfAudit/resultPublic/, friendlyName=열기</x:v>
      </x:c>
    </x:row>
    <x:row r="7" ht="30.950000762939453" customHeight="1">
      <x:c r="A7" s="10">
        <x:v>3</x:v>
      </x:c>
      <x:c r="B7" s="11" t="s">
        <x:v>13</x:v>
      </x:c>
      <x:c r="C7" s="12" t="s">
        <x:v>14</x:v>
      </x:c>
      <x:c r="D7" s="11" t="s">
        <x:v>15</x:v>
      </x:c>
      <x:c r="E7" s="21" t="e">
        <x:f>HYPERLINK("https://www.mois.go.kr/frt/bbs/type001/commonSelectBoardList.do?bbsId=BBSMSTR_000000000002","열기")</x:f>
        <x:v>HYPERLINK is not implemented. linkLocation=https://www.mois.go.kr/frt/bbs/type001/commonSelectBoardList.do?bbsId=BBSMSTR_000000000002, friendlyName=열기</x:v>
      </x:c>
    </x:row>
    <x:row r="8" ht="30.950000762939453" customHeight="1">
      <x:c r="A8" s="7">
        <x:v>4</x:v>
      </x:c>
      <x:c r="B8" s="8" t="s">
        <x:v>16</x:v>
      </x:c>
      <x:c r="C8" s="9" t="s">
        <x:v>17</x:v>
      </x:c>
      <x:c r="D8" s="8" t="s">
        <x:v>9</x:v>
      </x:c>
      <x:c r="E8" s="20" t="e">
        <x:f>HYPERLINK("https://www.gg.go.kr/audit/bbs/board.do?bsIdx=886&amp;menuId=4272","열기")</x:f>
        <x:v>HYPERLINK is not implemented. linkLocation=https://www.gg.go.kr/audit/bbs/board.do?bsIdx=886&amp;menuId=4272, friendlyName=열기</x:v>
      </x:c>
    </x:row>
    <x:row r="9" ht="30.950000762939453" customHeight="1">
      <x:c r="A9" s="10">
        <x:v>5</x:v>
      </x:c>
      <x:c r="B9" s="11" t="s">
        <x:v>18</x:v>
      </x:c>
      <x:c r="C9" s="12" t="s">
        <x:v>19</x:v>
      </x:c>
      <x:c r="D9" s="11" t="s">
        <x:v>15</x:v>
      </x:c>
      <x:c r="E9" s="21" t="e">
        <x:f>HYPERLINK("https://news.seoul.go.kr/gov/audit_result","열기")</x:f>
        <x:v>HYPERLINK is not implemented. linkLocation=https://news.seoul.go.kr/gov/audit_result, friendlyName=열기</x:v>
      </x:c>
    </x:row>
    <x:row r="10" ht="30.950000762939453" customHeight="1">
      <x:c r="A10" s="7">
        <x:v>6</x:v>
      </x:c>
      <x:c r="B10" s="8" t="s">
        <x:v>20</x:v>
      </x:c>
      <x:c r="C10" s="9" t="s">
        <x:v>21</x:v>
      </x:c>
      <x:c r="D10" s="8" t="s">
        <x:v>15</x:v>
      </x:c>
      <x:c r="E10" s="20" t="e">
        <x:f>HYPERLINK("https://www.busan.go.kr/gbinspec02","열기")</x:f>
        <x:v>HYPERLINK is not implemented. linkLocation=https://www.busan.go.kr/gbinspec02, friendlyName=열기</x:v>
      </x:c>
    </x:row>
    <x:row r="11" ht="30.950000762939453" customHeight="1">
      <x:c r="A11" s="10">
        <x:v>7</x:v>
      </x:c>
      <x:c r="B11" s="11" t="s">
        <x:v>22</x:v>
      </x:c>
      <x:c r="C11" s="12" t="s">
        <x:v>19</x:v>
      </x:c>
      <x:c r="D11" s="11" t="s">
        <x:v>15</x:v>
      </x:c>
      <x:c r="E11" s="21" t="e">
        <x:f>HYPERLINK("https://www.daegu.go.kr/index.do?menu_id=00000151","열기")</x:f>
        <x:v>HYPERLINK is not implemented. linkLocation=https://www.daegu.go.kr/index.do?menu_id=00000151, friendlyName=열기</x:v>
      </x:c>
    </x:row>
    <x:row r="12" ht="30.950000762939453" customHeight="1">
      <x:c r="A12" s="7">
        <x:v>8</x:v>
      </x:c>
      <x:c r="B12" s="8" t="s">
        <x:v>23</x:v>
      </x:c>
      <x:c r="C12" s="9" t="s">
        <x:v>19</x:v>
      </x:c>
      <x:c r="D12" s="8" t="s">
        <x:v>15</x:v>
      </x:c>
      <x:c r="E12" s="20" t="e">
        <x:f>HYPERLINK("https://www.incheon.go.kr/pub/PUB020201","열기")</x:f>
        <x:v>HYPERLINK is not implemented. linkLocation=https://www.incheon.go.kr/pub/PUB020201, friendlyName=열기</x:v>
      </x:c>
    </x:row>
    <x:row r="13" ht="30.950000762939453" customHeight="1">
      <x:c r="A13" s="10">
        <x:v>9</x:v>
      </x:c>
      <x:c r="B13" s="11" t="str">
        <x:v>전남광주통합특별시(광주권 감사자료)</x:v>
      </x:c>
      <x:c r="C13" s="12" t="s">
        <x:v>19</x:v>
      </x:c>
      <x:c r="D13" s="11" t="s">
        <x:v>24</x:v>
      </x:c>
      <x:c r="E13" s="21" t="e">
        <x:f>HYPERLINK("https://www.gwangju.go.kr/public/boardList.do?boardId=BD_0000000081&amp;pageId=public145","열기")</x:f>
        <x:v>HYPERLINK is not implemented. linkLocation=https://www.gwangju.go.kr/public/boardList.do?boardId=BD_0000000081&amp;pageId=public145, friendlyName=열기</x:v>
      </x:c>
    </x:row>
    <x:row r="14" ht="30.950000762939453" customHeight="1">
      <x:c r="A14" s="7">
        <x:v>10</x:v>
      </x:c>
      <x:c r="B14" s="8" t="s">
        <x:v>25</x:v>
      </x:c>
      <x:c r="C14" s="9" t="s">
        <x:v>19</x:v>
      </x:c>
      <x:c r="D14" s="8" t="s">
        <x:v>15</x:v>
      </x:c>
      <x:c r="E14" s="20" t="e">
        <x:f>HYPERLINK("https://www.daejeon.go.kr/drh/depart/board/boardNormalList.do?boardId=ins_0002&amp;categorySeq=&amp;menuSeq=1042","열기")</x:f>
        <x:v>HYPERLINK is not implemented. linkLocation=https://www.daejeon.go.kr/drh/depart/board/boardNormalList.do?boardId=ins_0002&amp;categorySeq=&amp;menuSeq=1042, friendlyName=열기</x:v>
      </x:c>
    </x:row>
    <x:row r="15" ht="30.950000762939453" customHeight="1">
      <x:c r="A15" s="10">
        <x:v>11</x:v>
      </x:c>
      <x:c r="B15" s="11" t="s">
        <x:v>26</x:v>
      </x:c>
      <x:c r="C15" s="12" t="s">
        <x:v>19</x:v>
      </x:c>
      <x:c r="D15" s="11" t="s">
        <x:v>27</x:v>
      </x:c>
      <x:c r="E15" s="21" t="e">
        <x:f>HYPERLINK("https://www.ulsan.go.kr/u/gov/contents.ulsan?mId=001003004000000000","열기")</x:f>
        <x:v>HYPERLINK is not implemented. linkLocation=https://www.ulsan.go.kr/u/gov/contents.ulsan?mId=001003004000000000, friendlyName=열기</x:v>
      </x:c>
    </x:row>
    <x:row r="16" ht="30.950000762939453" customHeight="1">
      <x:c r="A16" s="7">
        <x:v>12</x:v>
      </x:c>
      <x:c r="B16" s="8" t="s">
        <x:v>28</x:v>
      </x:c>
      <x:c r="C16" s="9" t="s">
        <x:v>29</x:v>
      </x:c>
      <x:c r="D16" s="8" t="s">
        <x:v>30</x:v>
      </x:c>
      <x:c r="E16" s="20" t="e">
        <x:f>HYPERLINK("https://www.sejong.go.kr/","열기")</x:f>
        <x:v>HYPERLINK is not implemented. linkLocation=https://www.sejong.go.kr/, friendlyName=열기</x:v>
      </x:c>
    </x:row>
    <x:row r="17" ht="30.950000762939453" customHeight="1">
      <x:c r="A17" s="10">
        <x:v>13</x:v>
      </x:c>
      <x:c r="B17" s="11" t="s">
        <x:v>31</x:v>
      </x:c>
      <x:c r="C17" s="12" t="s">
        <x:v>21</x:v>
      </x:c>
      <x:c r="D17" s="11" t="s">
        <x:v>15</x:v>
      </x:c>
      <x:c r="E17" s="21" t="e">
        <x:f>HYPERLINK("https://state.gwd.go.kr/audit/legal/auditresult","열기")</x:f>
        <x:v>HYPERLINK is not implemented. linkLocation=https://state.gwd.go.kr/audit/legal/auditresult, friendlyName=열기</x:v>
      </x:c>
    </x:row>
    <x:row r="18" ht="30.950000762939453" customHeight="1">
      <x:c r="A18" s="7">
        <x:v>14</x:v>
      </x:c>
      <x:c r="B18" s="8" t="s">
        <x:v>32</x:v>
      </x:c>
      <x:c r="C18" s="9" t="s">
        <x:v>21</x:v>
      </x:c>
      <x:c r="D18" s="8" t="s">
        <x:v>15</x:v>
      </x:c>
      <x:c r="E18" s="20" t="e">
        <x:f>HYPERLINK("https://www.chungbuk.go.kr/www/selectBbsNttList.do?bbsNo=12&amp;key=232","열기")</x:f>
        <x:v>HYPERLINK is not implemented. linkLocation=https://www.chungbuk.go.kr/www/selectBbsNttList.do?bbsNo=12&amp;key=232, friendlyName=열기</x:v>
      </x:c>
    </x:row>
    <x:row r="19" ht="30.950000762939453" customHeight="1">
      <x:c r="A19" s="10">
        <x:v>15</x:v>
      </x:c>
      <x:c r="B19" s="11" t="s">
        <x:v>33</x:v>
      </x:c>
      <x:c r="C19" s="12" t="s">
        <x:v>19</x:v>
      </x:c>
      <x:c r="D19" s="11" t="s">
        <x:v>15</x:v>
      </x:c>
      <x:c r="E19" s="21" t="e">
        <x:f>HYPERLINK("https://www.chungnam.go.kr/audit/bbs/B0000270/list.do?menuNo=1800010","열기")</x:f>
        <x:v>HYPERLINK is not implemented. linkLocation=https://www.chungnam.go.kr/audit/bbs/B0000270/list.do?menuNo=1800010, friendlyName=열기</x:v>
      </x:c>
    </x:row>
    <x:row r="20" ht="30.950000762939453" customHeight="1">
      <x:c r="A20" s="7">
        <x:v>16</x:v>
      </x:c>
      <x:c r="B20" s="8" t="s">
        <x:v>34</x:v>
      </x:c>
      <x:c r="C20" s="9" t="s">
        <x:v>21</x:v>
      </x:c>
      <x:c r="D20" s="8" t="s">
        <x:v>15</x:v>
      </x:c>
      <x:c r="E20" s="20" t="e">
        <x:f>HYPERLINK("https://www.jeonbuk.go.kr/audit/board/list.jeonbuk?boardId=BBS_0000157&amp;listCel=1&amp;listRow=10&amp;menuCd=DOM_000001402003000000&amp;paging=ok&amp;startPage=1","열기")</x:f>
        <x:v>HYPERLINK is not implemented. linkLocation=https://www.jeonbuk.go.kr/audit/board/list.jeonbuk?boardId=BBS_0000157&amp;listCel=1&amp;listRow=10&amp;menuCd=DOM_000001402003000000&amp;paging=ok&amp;startPage=1, friendlyName=열기</x:v>
      </x:c>
    </x:row>
    <x:row r="21" ht="30.950000762939453" customHeight="1">
      <x:c r="A21" s="10">
        <x:v>17</x:v>
      </x:c>
      <x:c r="B21" s="11" t="str">
        <x:v>전남광주통합특별시(전남권 감사자료)</x:v>
      </x:c>
      <x:c r="C21" s="12" t="s">
        <x:v>19</x:v>
      </x:c>
      <x:c r="D21" s="11" t="s">
        <x:v>24</x:v>
      </x:c>
      <x:c r="E21" s="21" t="e">
        <x:f>HYPERLINK("https://www.jeonnam.go.kr/T8636/boardList.do?displayHeader=&amp;infoReturn=&amp;menuId=jeonnam0105020000","열기")</x:f>
        <x:v>HYPERLINK is not implemented. linkLocation=https://www.jeonnam.go.kr/T8636/boardList.do?displayHeader=&amp;infoReturn=&amp;menuId=jeonnam0105020000, friendlyName=열기</x:v>
      </x:c>
    </x:row>
    <x:row r="22" ht="30.950000762939453" customHeight="1">
      <x:c r="A22" s="7">
        <x:v>18</x:v>
      </x:c>
      <x:c r="B22" s="8" t="s">
        <x:v>35</x:v>
      </x:c>
      <x:c r="C22" s="9" t="s">
        <x:v>19</x:v>
      </x:c>
      <x:c r="D22" s="8" t="s">
        <x:v>15</x:v>
      </x:c>
      <x:c r="E22" s="20" t="e">
        <x:f>HYPERLINK("https://gb.go.kr/Main/page.do?URL=%2Fcommon%2Fboard%2Fboard.do&amp;BD_CODE=dept_news&amp;bdName=%EA%B0%90%EC%82%AC%EA%B2%B0%EA%B3%BC%EA%B3%B5%EA%B0%9C&amp;dept_code=6470002&amp;bbscode1=freebbs11&amp;cmd=1&amp;mnu_uid=8380","열기")</x:f>
        <x:v>HYPERLINK is not implemented. linkLocation=https://gb.go.kr/Main/page.do?URL=%2Fcommon%2Fboard%2Fboard.do&amp;BD_CODE=dept_news&amp;bdName=%EA%B0%90%EC%82%AC%EA%B2%B0%EA%B3%BC%EA%B3%B5%EA%B0%9C&amp;dept_code=6470002&amp;bbscode1=freebbs11&amp;cmd=1&amp;mnu_uid=8380, friendlyName=열기</x:v>
      </x:c>
    </x:row>
    <x:row r="23" ht="30.950000762939453" customHeight="1">
      <x:c r="A23" s="10">
        <x:v>19</x:v>
      </x:c>
      <x:c r="B23" s="11" t="s">
        <x:v>36</x:v>
      </x:c>
      <x:c r="C23" s="12" t="s">
        <x:v>37</x:v>
      </x:c>
      <x:c r="D23" s="11" t="s">
        <x:v>38</x:v>
      </x:c>
      <x:c r="E23" s="21" t="e">
        <x:f>HYPERLINK("https://www.gyeongnam.go.kr/gamsa/index.gyeong","열기")</x:f>
        <x:v>HYPERLINK is not implemented. linkLocation=https://www.gyeongnam.go.kr/gamsa/index.gyeong, friendlyName=열기</x:v>
      </x:c>
    </x:row>
    <x:row r="24" ht="30.950000762939453" customHeight="1">
      <x:c r="A24" s="7">
        <x:v>20</x:v>
      </x:c>
      <x:c r="B24" s="8" t="s">
        <x:v>39</x:v>
      </x:c>
      <x:c r="C24" s="9" t="s">
        <x:v>40</x:v>
      </x:c>
      <x:c r="D24" s="8" t="s">
        <x:v>15</x:v>
      </x:c>
      <x:c r="E24" s="20" t="e">
        <x:f>HYPERLINK("https://audit.jeju.go.kr/news/activity/result.htm","열기")</x:f>
        <x:v>HYPERLINK is not implemented. linkLocation=https://audit.jeju.go.kr/news/activity/result.htm, friendlyName=열기</x:v>
      </x:c>
    </x:row>
    <x:row r="25" ht="30.950000762939453" customHeight="1">
      <x:c r="A25" s="10">
        <x:v>21</x:v>
      </x:c>
      <x:c r="B25" s="11" t="s">
        <x:v>41</x:v>
      </x:c>
      <x:c r="C25" s="12" t="s">
        <x:v>42</x:v>
      </x:c>
      <x:c r="D25" s="11" t="s">
        <x:v>30</x:v>
      </x:c>
      <x:c r="E25" s="21" t="e">
        <x:f>HYPERLINK("https://www.jongno.go.kr/portalMain.do","열기")</x:f>
        <x:v>HYPERLINK is not implemented. linkLocation=https://www.jongno.go.kr/portalMain.do, friendlyName=열기</x:v>
      </x:c>
    </x:row>
    <x:row r="26" ht="30.950000762939453" customHeight="1">
      <x:c r="A26" s="7">
        <x:v>22</x:v>
      </x:c>
      <x:c r="B26" s="8" t="s">
        <x:v>43</x:v>
      </x:c>
      <x:c r="C26" s="9" t="s">
        <x:v>42</x:v>
      </x:c>
      <x:c r="D26" s="8" t="s">
        <x:v>30</x:v>
      </x:c>
      <x:c r="E26" s="20" t="e">
        <x:f>HYPERLINK("https://www.junggu.seoul.kr/","열기")</x:f>
        <x:v>HYPERLINK is not implemented. linkLocation=https://www.junggu.seoul.kr/, friendlyName=열기</x:v>
      </x:c>
    </x:row>
    <x:row r="27" ht="30.950000762939453" customHeight="1">
      <x:c r="A27" s="10">
        <x:v>23</x:v>
      </x:c>
      <x:c r="B27" s="11" t="s">
        <x:v>44</x:v>
      </x:c>
      <x:c r="C27" s="12" t="s">
        <x:v>42</x:v>
      </x:c>
      <x:c r="D27" s="11" t="s">
        <x:v>30</x:v>
      </x:c>
      <x:c r="E27" s="21" t="e">
        <x:f>HYPERLINK("https://www.yongsan.go.kr/","열기")</x:f>
        <x:v>HYPERLINK is not implemented. linkLocation=https://www.yongsan.go.kr/, friendlyName=열기</x:v>
      </x:c>
    </x:row>
    <x:row r="28" ht="30.950000762939453" customHeight="1">
      <x:c r="A28" s="7">
        <x:v>24</x:v>
      </x:c>
      <x:c r="B28" s="8" t="s">
        <x:v>45</x:v>
      </x:c>
      <x:c r="C28" s="9" t="s">
        <x:v>42</x:v>
      </x:c>
      <x:c r="D28" s="8" t="s">
        <x:v>30</x:v>
      </x:c>
      <x:c r="E28" s="20" t="e">
        <x:f>HYPERLINK("https://www.sd.go.kr/main/index.do","열기")</x:f>
        <x:v>HYPERLINK is not implemented. linkLocation=https://www.sd.go.kr/main/index.do, friendlyName=열기</x:v>
      </x:c>
    </x:row>
    <x:row r="29" ht="30.950000762939453" customHeight="1">
      <x:c r="A29" s="10">
        <x:v>25</x:v>
      </x:c>
      <x:c r="B29" s="11" t="s">
        <x:v>46</x:v>
      </x:c>
      <x:c r="C29" s="12" t="s">
        <x:v>47</x:v>
      </x:c>
      <x:c r="D29" s="11" t="s">
        <x:v>48</x:v>
      </x:c>
      <x:c r="E29" s="21" t="e">
        <x:f>HYPERLINK("https://www.gwangjin.go.kr/portal/pgm/online/list.do?ctgryCd=0104&amp;ctgryDetailCd=010401&amp;menuNo=200066","열기")</x:f>
        <x:v>HYPERLINK is not implemented. linkLocation=https://www.gwangjin.go.kr/portal/pgm/online/list.do?ctgryCd=0104&amp;ctgryDetailCd=010401&amp;menuNo=200066, friendlyName=열기</x:v>
      </x:c>
    </x:row>
    <x:row r="30" ht="30.950000762939453" customHeight="1">
      <x:c r="A30" s="7">
        <x:v>26</x:v>
      </x:c>
      <x:c r="B30" s="8" t="s">
        <x:v>49</x:v>
      </x:c>
      <x:c r="C30" s="9" t="s">
        <x:v>50</x:v>
      </x:c>
      <x:c r="D30" s="8" t="s">
        <x:v>48</x:v>
      </x:c>
      <x:c r="E30" s="20" t="e">
        <x:f>HYPERLINK("https://www.ddm.go.kr/www/selectBbsNttList.do?bbsNo=158&amp;integrDeptCode=&amp;key=563","열기")</x:f>
        <x:v>HYPERLINK is not implemented. linkLocation=https://www.ddm.go.kr/www/selectBbsNttList.do?bbsNo=158&amp;integrDeptCode=&amp;key=563, friendlyName=열기</x:v>
      </x:c>
    </x:row>
    <x:row r="31" ht="30.950000762939453" customHeight="1">
      <x:c r="A31" s="10">
        <x:v>27</x:v>
      </x:c>
      <x:c r="B31" s="11" t="s">
        <x:v>51</x:v>
      </x:c>
      <x:c r="C31" s="12" t="s">
        <x:v>42</x:v>
      </x:c>
      <x:c r="D31" s="11" t="s">
        <x:v>30</x:v>
      </x:c>
      <x:c r="E31" s="21" t="e">
        <x:f>HYPERLINK("https://www.jungnang.go.kr/portal/main.do","열기")</x:f>
        <x:v>HYPERLINK is not implemented. linkLocation=https://www.jungnang.go.kr/portal/main.do, friendlyName=열기</x:v>
      </x:c>
    </x:row>
    <x:row r="32" ht="30.950000762939453" customHeight="1">
      <x:c r="A32" s="7">
        <x:v>28</x:v>
      </x:c>
      <x:c r="B32" s="8" t="s">
        <x:v>52</x:v>
      </x:c>
      <x:c r="C32" s="9" t="s">
        <x:v>19</x:v>
      </x:c>
      <x:c r="D32" s="8" t="s">
        <x:v>48</x:v>
      </x:c>
      <x:c r="E32" s="20" t="e">
        <x:f>HYPERLINK("https://www.sb.go.kr/www/selectBbsNttList.do?bbsNo=27&amp;key=5922","열기")</x:f>
        <x:v>HYPERLINK is not implemented. linkLocation=https://www.sb.go.kr/www/selectBbsNttList.do?bbsNo=27&amp;key=5922, friendlyName=열기</x:v>
      </x:c>
    </x:row>
    <x:row r="33" ht="30.950000762939453" customHeight="1">
      <x:c r="A33" s="10">
        <x:v>29</x:v>
      </x:c>
      <x:c r="B33" s="11" t="s">
        <x:v>53</x:v>
      </x:c>
      <x:c r="C33" s="12" t="s">
        <x:v>42</x:v>
      </x:c>
      <x:c r="D33" s="11" t="s">
        <x:v>30</x:v>
      </x:c>
      <x:c r="E33" s="21" t="e">
        <x:f>HYPERLINK("https://www.gangbuk.go.kr/www/index.do","열기")</x:f>
        <x:v>HYPERLINK is not implemented. linkLocation=https://www.gangbuk.go.kr/www/index.do, friendlyName=열기</x:v>
      </x:c>
    </x:row>
    <x:row r="34" ht="30.950000762939453" customHeight="1">
      <x:c r="A34" s="7">
        <x:v>30</x:v>
      </x:c>
      <x:c r="B34" s="8" t="s">
        <x:v>54</x:v>
      </x:c>
      <x:c r="C34" s="9" t="s">
        <x:v>42</x:v>
      </x:c>
      <x:c r="D34" s="8" t="s">
        <x:v>30</x:v>
      </x:c>
      <x:c r="E34" s="20" t="e">
        <x:f>HYPERLINK("https://www.dobong.go.kr/","열기")</x:f>
        <x:v>HYPERLINK is not implemented. linkLocation=https://www.dobong.go.kr/, friendlyName=열기</x:v>
      </x:c>
    </x:row>
    <x:row r="35" ht="30.950000762939453" customHeight="1">
      <x:c r="A35" s="10">
        <x:v>31</x:v>
      </x:c>
      <x:c r="B35" s="11" t="s">
        <x:v>55</x:v>
      </x:c>
      <x:c r="C35" s="12" t="s">
        <x:v>42</x:v>
      </x:c>
      <x:c r="D35" s="11" t="s">
        <x:v>30</x:v>
      </x:c>
      <x:c r="E35" s="21" t="e">
        <x:f>HYPERLINK("https://www.nowon.kr/","열기")</x:f>
        <x:v>HYPERLINK is not implemented. linkLocation=https://www.nowon.kr/, friendlyName=열기</x:v>
      </x:c>
    </x:row>
    <x:row r="36" ht="30.950000762939453" customHeight="1">
      <x:c r="A36" s="7">
        <x:v>32</x:v>
      </x:c>
      <x:c r="B36" s="8" t="s">
        <x:v>56</x:v>
      </x:c>
      <x:c r="C36" s="9" t="s">
        <x:v>42</x:v>
      </x:c>
      <x:c r="D36" s="8" t="s">
        <x:v>30</x:v>
      </x:c>
      <x:c r="E36" s="20" t="e">
        <x:f>HYPERLINK("https://www.ep.go.kr/www/index.do","열기")</x:f>
        <x:v>HYPERLINK is not implemented. linkLocation=https://www.ep.go.kr/www/index.do, friendlyName=열기</x:v>
      </x:c>
    </x:row>
    <x:row r="37" ht="30.950000762939453" customHeight="1">
      <x:c r="A37" s="10">
        <x:v>33</x:v>
      </x:c>
      <x:c r="B37" s="11" t="s">
        <x:v>57</x:v>
      </x:c>
      <x:c r="C37" s="12" t="s">
        <x:v>21</x:v>
      </x:c>
      <x:c r="D37" s="11" t="s">
        <x:v>48</x:v>
      </x:c>
      <x:c r="E37" s="21" t="e">
        <x:f>HYPERLINK("https://www.sdm.go.kr/clean/inspect/result.do","열기")</x:f>
        <x:v>HYPERLINK is not implemented. linkLocation=https://www.sdm.go.kr/clean/inspect/result.do, friendlyName=열기</x:v>
      </x:c>
    </x:row>
    <x:row r="38" ht="30.950000762939453" customHeight="1">
      <x:c r="A38" s="7">
        <x:v>34</x:v>
      </x:c>
      <x:c r="B38" s="8" t="s">
        <x:v>58</x:v>
      </x:c>
      <x:c r="C38" s="9" t="s">
        <x:v>42</x:v>
      </x:c>
      <x:c r="D38" s="8" t="s">
        <x:v>30</x:v>
      </x:c>
      <x:c r="E38" s="20" t="e">
        <x:f>HYPERLINK("https://www.mapo.go.kr/site/main/home","열기")</x:f>
        <x:v>HYPERLINK is not implemented. linkLocation=https://www.mapo.go.kr/site/main/home, friendlyName=열기</x:v>
      </x:c>
    </x:row>
    <x:row r="39" ht="30.950000762939453" customHeight="1">
      <x:c r="A39" s="10">
        <x:v>35</x:v>
      </x:c>
      <x:c r="B39" s="11" t="s">
        <x:v>59</x:v>
      </x:c>
      <x:c r="C39" s="12" t="s">
        <x:v>42</x:v>
      </x:c>
      <x:c r="D39" s="11" t="s">
        <x:v>30</x:v>
      </x:c>
      <x:c r="E39" s="21" t="e">
        <x:f>HYPERLINK("https://www.yangcheon.go.kr/site/yangcheon/main.do","열기")</x:f>
        <x:v>HYPERLINK is not implemented. linkLocation=https://www.yangcheon.go.kr/site/yangcheon/main.do, friendlyName=열기</x:v>
      </x:c>
    </x:row>
    <x:row r="40" ht="30.950000762939453" customHeight="1">
      <x:c r="A40" s="7">
        <x:v>36</x:v>
      </x:c>
      <x:c r="B40" s="8" t="s">
        <x:v>60</x:v>
      </x:c>
      <x:c r="C40" s="9" t="s">
        <x:v>42</x:v>
      </x:c>
      <x:c r="D40" s="8" t="s">
        <x:v>30</x:v>
      </x:c>
      <x:c r="E40" s="20" t="e">
        <x:f>HYPERLINK("https://www.gangseo.seoul.kr/index","열기")</x:f>
        <x:v>HYPERLINK is not implemented. linkLocation=https://www.gangseo.seoul.kr/index, friendlyName=열기</x:v>
      </x:c>
    </x:row>
    <x:row r="41" ht="30.950000762939453" customHeight="1">
      <x:c r="A41" s="10">
        <x:v>37</x:v>
      </x:c>
      <x:c r="B41" s="11" t="s">
        <x:v>61</x:v>
      </x:c>
      <x:c r="C41" s="12" t="s">
        <x:v>62</x:v>
      </x:c>
      <x:c r="D41" s="11" t="s">
        <x:v>48</x:v>
      </x:c>
      <x:c r="E41" s="21" t="e">
        <x:f>HYPERLINK("https://www.guro.go.kr/upright/selectBbsNttList.do?bbsNo=593&amp;key=1532","열기")</x:f>
        <x:v>HYPERLINK is not implemented. linkLocation=https://www.guro.go.kr/upright/selectBbsNttList.do?bbsNo=593&amp;key=1532, friendlyName=열기</x:v>
      </x:c>
    </x:row>
    <x:row r="42" ht="30.950000762939453" customHeight="1">
      <x:c r="A42" s="7">
        <x:v>38</x:v>
      </x:c>
      <x:c r="B42" s="8" t="s">
        <x:v>63</x:v>
      </x:c>
      <x:c r="C42" s="9" t="s">
        <x:v>42</x:v>
      </x:c>
      <x:c r="D42" s="8" t="s">
        <x:v>30</x:v>
      </x:c>
      <x:c r="E42" s="20" t="e">
        <x:f>HYPERLINK("https://www.geumcheon.go.kr/portal/index.do","열기")</x:f>
        <x:v>HYPERLINK is not implemented. linkLocation=https://www.geumcheon.go.kr/portal/index.do, friendlyName=열기</x:v>
      </x:c>
    </x:row>
    <x:row r="43" ht="30.950000762939453" customHeight="1">
      <x:c r="A43" s="10">
        <x:v>39</x:v>
      </x:c>
      <x:c r="B43" s="11" t="s">
        <x:v>64</x:v>
      </x:c>
      <x:c r="C43" s="12" t="s">
        <x:v>21</x:v>
      </x:c>
      <x:c r="D43" s="11" t="s">
        <x:v>48</x:v>
      </x:c>
      <x:c r="E43" s="21" t="e">
        <x:f>HYPERLINK("https://www.ydp.go.kr/www/selectBbsNttList.do?bbsNo=33&amp;key=2821","열기")</x:f>
        <x:v>HYPERLINK is not implemented. linkLocation=https://www.ydp.go.kr/www/selectBbsNttList.do?bbsNo=33&amp;key=2821, friendlyName=열기</x:v>
      </x:c>
    </x:row>
    <x:row r="44" ht="30.950000762939453" customHeight="1">
      <x:c r="A44" s="7">
        <x:v>40</x:v>
      </x:c>
      <x:c r="B44" s="8" t="s">
        <x:v>65</x:v>
      </x:c>
      <x:c r="C44" s="9" t="s">
        <x:v>19</x:v>
      </x:c>
      <x:c r="D44" s="8" t="s">
        <x:v>48</x:v>
      </x:c>
      <x:c r="E44" s="20" t="e">
        <x:f>HYPERLINK("https://www.dongjak.go.kr/portal/bbs/B0000712/list.do?menuNo=200208","열기")</x:f>
        <x:v>HYPERLINK is not implemented. linkLocation=https://www.dongjak.go.kr/portal/bbs/B0000712/list.do?menuNo=200208, friendlyName=열기</x:v>
      </x:c>
    </x:row>
    <x:row r="45" ht="30.950000762939453" customHeight="1">
      <x:c r="A45" s="10">
        <x:v>41</x:v>
      </x:c>
      <x:c r="B45" s="11" t="s">
        <x:v>66</x:v>
      </x:c>
      <x:c r="C45" s="12" t="s">
        <x:v>42</x:v>
      </x:c>
      <x:c r="D45" s="11" t="s">
        <x:v>30</x:v>
      </x:c>
      <x:c r="E45" s="21" t="e">
        <x:f>HYPERLINK("https://www.gwanak.go.kr/site/gwanak/main.do","열기")</x:f>
        <x:v>HYPERLINK is not implemented. linkLocation=https://www.gwanak.go.kr/site/gwanak/main.do, friendlyName=열기</x:v>
      </x:c>
    </x:row>
    <x:row r="46" ht="30.950000762939453" customHeight="1">
      <x:c r="A46" s="7">
        <x:v>42</x:v>
      </x:c>
      <x:c r="B46" s="8" t="s">
        <x:v>67</x:v>
      </x:c>
      <x:c r="C46" s="9" t="s">
        <x:v>68</x:v>
      </x:c>
      <x:c r="D46" s="8" t="s">
        <x:v>48</x:v>
      </x:c>
      <x:c r="E46" s="20" t="e">
        <x:f>HYPERLINK("https://www.seocho.go.kr/site/seocho/ex/publicList/PublicListF.do","열기")</x:f>
        <x:v>HYPERLINK is not implemented. linkLocation=https://www.seocho.go.kr/site/seocho/ex/publicList/PublicListF.do, friendlyName=열기</x:v>
      </x:c>
    </x:row>
    <x:row r="47" ht="30.950000762939453" customHeight="1">
      <x:c r="A47" s="10">
        <x:v>43</x:v>
      </x:c>
      <x:c r="B47" s="11" t="s">
        <x:v>69</x:v>
      </x:c>
      <x:c r="C47" s="12" t="s">
        <x:v>70</x:v>
      </x:c>
      <x:c r="D47" s="11" t="s">
        <x:v>48</x:v>
      </x:c>
      <x:c r="E47" s="21" t="e">
        <x:f>HYPERLINK("https://www.gangnam.go.kr/publicinfo/main.do","열기")</x:f>
        <x:v>HYPERLINK is not implemented. linkLocation=https://www.gangnam.go.kr/publicinfo/main.do, friendlyName=열기</x:v>
      </x:c>
    </x:row>
    <x:row r="48" ht="30.950000762939453" customHeight="1">
      <x:c r="A48" s="7">
        <x:v>44</x:v>
      </x:c>
      <x:c r="B48" s="8" t="s">
        <x:v>71</x:v>
      </x:c>
      <x:c r="C48" s="9" t="s">
        <x:v>42</x:v>
      </x:c>
      <x:c r="D48" s="8" t="s">
        <x:v>30</x:v>
      </x:c>
      <x:c r="E48" s="20" t="e">
        <x:f>HYPERLINK("https://www.songpa.go.kr/www/index.do","열기")</x:f>
        <x:v>HYPERLINK is not implemented. linkLocation=https://www.songpa.go.kr/www/index.do, friendlyName=열기</x:v>
      </x:c>
    </x:row>
    <x:row r="49" ht="30.950000762939453" customHeight="1">
      <x:c r="A49" s="10">
        <x:v>45</x:v>
      </x:c>
      <x:c r="B49" s="11" t="s">
        <x:v>72</x:v>
      </x:c>
      <x:c r="C49" s="12" t="s">
        <x:v>42</x:v>
      </x:c>
      <x:c r="D49" s="11" t="s">
        <x:v>30</x:v>
      </x:c>
      <x:c r="E49" s="21" t="e">
        <x:f>HYPERLINK("https://www.gangdong.go.kr/newportal/","열기")</x:f>
        <x:v>HYPERLINK is not implemented. linkLocation=https://www.gangdong.go.kr/newportal/, friendlyName=열기</x:v>
      </x:c>
    </x:row>
    <x:row r="50" ht="30.950000762939453" customHeight="1">
      <x:c r="A50" s="7">
        <x:v>46</x:v>
      </x:c>
      <x:c r="B50" s="8" t="s">
        <x:v>73</x:v>
      </x:c>
      <x:c r="C50" s="9" t="s">
        <x:v>74</x:v>
      </x:c>
      <x:c r="D50" s="8" t="s">
        <x:v>9</x:v>
      </x:c>
      <x:c r="E50" s="20" t="e">
        <x:f>HYPERLINK("https://www.suwon.go.kr/web/board/BD_board.list.do?bbsCd=1137&amp;showSummaryYn=N","열기")</x:f>
        <x:v>HYPERLINK is not implemented. linkLocation=https://www.suwon.go.kr/web/board/BD_board.list.do?bbsCd=1137&amp;showSummaryYn=N, friendlyName=열기</x:v>
      </x:c>
    </x:row>
    <x:row r="51" ht="30.950000762939453" customHeight="1">
      <x:c r="A51" s="10">
        <x:v>47</x:v>
      </x:c>
      <x:c r="B51" s="11" t="s">
        <x:v>75</x:v>
      </x:c>
      <x:c r="C51" s="12" t="s">
        <x:v>76</x:v>
      </x:c>
      <x:c r="D51" s="11" t="s">
        <x:v>9</x:v>
      </x:c>
      <x:c r="E51" s="21" t="e">
        <x:f>HYPERLINK("https://www.yongin.go.kr/user/bbs/BD_selectBbsList.do?q_bbsCode=1093","열기")</x:f>
        <x:v>HYPERLINK is not implemented. linkLocation=https://www.yongin.go.kr/user/bbs/BD_selectBbsList.do?q_bbsCode=1093, friendlyName=열기</x:v>
      </x:c>
    </x:row>
    <x:row r="52" ht="30.950000762939453" customHeight="1">
      <x:c r="A52" s="7">
        <x:v>48</x:v>
      </x:c>
      <x:c r="B52" s="8" t="s">
        <x:v>77</x:v>
      </x:c>
      <x:c r="C52" s="9" t="s">
        <x:v>78</x:v>
      </x:c>
      <x:c r="D52" s="8" t="s">
        <x:v>79</x:v>
      </x:c>
      <x:c r="E52" s="20" t="e">
        <x:f>HYPERLINK("https://www.goyang.go.kr/","열기")</x:f>
        <x:v>HYPERLINK is not implemented. linkLocation=https://www.goyang.go.kr/, friendlyName=열기</x:v>
      </x:c>
    </x:row>
    <x:row r="53" ht="30.950000762939453" customHeight="1">
      <x:c r="A53" s="10">
        <x:v>49</x:v>
      </x:c>
      <x:c r="B53" s="11" t="s">
        <x:v>80</x:v>
      </x:c>
      <x:c r="C53" s="12" t="s">
        <x:v>81</x:v>
      </x:c>
      <x:c r="D53" s="11" t="s">
        <x:v>9</x:v>
      </x:c>
      <x:c r="E53" s="21" t="e">
        <x:f>HYPERLINK("https://www.hscity.go.kr/www/user/bbs/BD_selectBbsList.do?q_bbsCode=1115","열기")</x:f>
        <x:v>HYPERLINK is not implemented. linkLocation=https://www.hscity.go.kr/www/user/bbs/BD_selectBbsList.do?q_bbsCode=1115, friendlyName=열기</x:v>
      </x:c>
    </x:row>
    <x:row r="54" ht="30.950000762939453" customHeight="1">
      <x:c r="A54" s="7">
        <x:v>50</x:v>
      </x:c>
      <x:c r="B54" s="8" t="s">
        <x:v>82</x:v>
      </x:c>
      <x:c r="C54" s="9" t="s">
        <x:v>83</x:v>
      </x:c>
      <x:c r="D54" s="8" t="s">
        <x:v>9</x:v>
      </x:c>
      <x:c r="E54" s="20" t="e">
        <x:f>HYPERLINK("https://www.seongnam.go.kr/city/1001145/30084/bbsList.do","열기")</x:f>
        <x:v>HYPERLINK is not implemented. linkLocation=https://www.seongnam.go.kr/city/1001145/30084/bbsList.do, friendlyName=열기</x:v>
      </x:c>
    </x:row>
    <x:row r="55" ht="30.950000762939453" customHeight="1">
      <x:c r="A55" s="10">
        <x:v>51</x:v>
      </x:c>
      <x:c r="B55" s="11" t="s">
        <x:v>84</x:v>
      </x:c>
      <x:c r="C55" s="12" t="s">
        <x:v>85</x:v>
      </x:c>
      <x:c r="D55" s="11" t="s">
        <x:v>86</x:v>
      </x:c>
      <x:c r="E55" s="21" t="e">
        <x:f>HYPERLINK("https://www.bucheon.go.kr/site/program/board/basicboard/list?boardtypeid=26716&amp;menuid=148004003004&amp;pagesize=10","열기")</x:f>
        <x:v>HYPERLINK is not implemented. linkLocation=https://www.bucheon.go.kr/site/program/board/basicboard/list?boardtypeid=26716&amp;menuid=148004003004&amp;pagesize=10, friendlyName=열기</x:v>
      </x:c>
    </x:row>
    <x:row r="56" ht="30.950000762939453" customHeight="1">
      <x:c r="A56" s="7">
        <x:v>52</x:v>
      </x:c>
      <x:c r="B56" s="8" t="s">
        <x:v>87</x:v>
      </x:c>
      <x:c r="C56" s="9" t="s">
        <x:v>88</x:v>
      </x:c>
      <x:c r="D56" s="8" t="s">
        <x:v>86</x:v>
      </x:c>
      <x:c r="E56" s="20" t="e">
        <x:f>HYPERLINK("https://www.nyj.go.kr/www/selectTnBeffatInfoPublictListU.do?key=2407&amp;sc3=10","열기")</x:f>
        <x:v>HYPERLINK is not implemented. linkLocation=https://www.nyj.go.kr/www/selectTnBeffatInfoPublictListU.do?key=2407&amp;sc3=10, friendlyName=열기</x:v>
      </x:c>
    </x:row>
    <x:row r="57" ht="30.950000762939453" customHeight="1">
      <x:c r="A57" s="10">
        <x:v>53</x:v>
      </x:c>
      <x:c r="B57" s="11" t="s">
        <x:v>89</x:v>
      </x:c>
      <x:c r="C57" s="12" t="s">
        <x:v>90</x:v>
      </x:c>
      <x:c r="D57" s="11" t="s">
        <x:v>91</x:v>
      </x:c>
      <x:c r="E57" s="21" t="e">
        <x:f>HYPERLINK("https://www.ansan.go.kr/www/common/bbs/selectPageListBbs.do?bbs_code=WWW07&amp;key=NEO&amp;sch_text=%EA%B0%90%EC%82%AC%EA%B4%80&amp;sch_type=register_nm","열기")</x:f>
        <x:v>HYPERLINK is not implemented. linkLocation=https://www.ansan.go.kr/www/common/bbs/selectPageListBbs.do?bbs_code=WWW07&amp;key=NEO&amp;sch_text=%EA%B0%90%EC%82%AC%EA%B4%80&amp;sch_type=register_nm, friendlyName=열기</x:v>
      </x:c>
    </x:row>
    <x:row r="58" ht="30.950000762939453" customHeight="1">
      <x:c r="A58" s="7">
        <x:v>54</x:v>
      </x:c>
      <x:c r="B58" s="8" t="s">
        <x:v>92</x:v>
      </x:c>
      <x:c r="C58" s="9" t="s">
        <x:v>78</x:v>
      </x:c>
      <x:c r="D58" s="8" t="s">
        <x:v>79</x:v>
      </x:c>
      <x:c r="E58" s="20" t="e">
        <x:f>HYPERLINK("https://www.pyeongtaek.go.kr/","열기")</x:f>
        <x:v>HYPERLINK is not implemented. linkLocation=https://www.pyeongtaek.go.kr/, friendlyName=열기</x:v>
      </x:c>
    </x:row>
    <x:row r="59" ht="30.950000762939453" customHeight="1">
      <x:c r="A59" s="10">
        <x:v>55</x:v>
      </x:c>
      <x:c r="B59" s="11" t="s">
        <x:v>93</x:v>
      </x:c>
      <x:c r="C59" s="12" t="s">
        <x:v>94</x:v>
      </x:c>
      <x:c r="D59" s="11" t="s">
        <x:v>9</x:v>
      </x:c>
      <x:c r="E59" s="21" t="e">
        <x:f>HYPERLINK("https://www.anyang.go.kr/main/selectBbsNttList.do?bbsNo=44&amp;key=219","열기")</x:f>
        <x:v>HYPERLINK is not implemented. linkLocation=https://www.anyang.go.kr/main/selectBbsNttList.do?bbsNo=44&amp;key=219, friendlyName=열기</x:v>
      </x:c>
    </x:row>
    <x:row r="60" ht="30.950000762939453" customHeight="1">
      <x:c r="A60" s="7">
        <x:v>56</x:v>
      </x:c>
      <x:c r="B60" s="8" t="s">
        <x:v>95</x:v>
      </x:c>
      <x:c r="C60" s="9" t="s">
        <x:v>96</x:v>
      </x:c>
      <x:c r="D60" s="8" t="s">
        <x:v>97</x:v>
      </x:c>
      <x:c r="E60" s="20" t="e">
        <x:f>HYPERLINK("https://www.siheung.go.kr/","열기")</x:f>
        <x:v>HYPERLINK is not implemented. linkLocation=https://www.siheung.go.kr/, friendlyName=열기</x:v>
      </x:c>
    </x:row>
    <x:row r="61" ht="30.950000762939453" customHeight="1">
      <x:c r="A61" s="10">
        <x:v>57</x:v>
      </x:c>
      <x:c r="B61" s="11" t="s">
        <x:v>98</x:v>
      </x:c>
      <x:c r="C61" s="12" t="s">
        <x:v>99</x:v>
      </x:c>
      <x:c r="D61" s="11" t="s">
        <x:v>9</x:v>
      </x:c>
      <x:c r="E61" s="21" t="e">
        <x:f>HYPERLINK("https://www.paju.go.kr/user/board/BD_board.list.do?bbsCd=9027","열기")</x:f>
        <x:v>HYPERLINK is not implemented. linkLocation=https://www.paju.go.kr/user/board/BD_board.list.do?bbsCd=9027, friendlyName=열기</x:v>
      </x:c>
    </x:row>
    <x:row r="62" ht="30.950000762939453" customHeight="1">
      <x:c r="A62" s="7">
        <x:v>58</x:v>
      </x:c>
      <x:c r="B62" s="8" t="s">
        <x:v>100</x:v>
      </x:c>
      <x:c r="C62" s="9" t="s">
        <x:v>81</x:v>
      </x:c>
      <x:c r="D62" s="8" t="s">
        <x:v>9</x:v>
      </x:c>
      <x:c r="E62" s="20" t="e">
        <x:f>HYPERLINK("https://www.gimpo.go.kr/portal/selectBbsNttList.do?bbsNo=202&amp;deleteAt=N&amp;key=1100","열기")</x:f>
        <x:v>HYPERLINK is not implemented. linkLocation=https://www.gimpo.go.kr/portal/selectBbsNttList.do?bbsNo=202&amp;deleteAt=N&amp;key=1100, friendlyName=열기</x:v>
      </x:c>
    </x:row>
    <x:row r="63" ht="30.950000762939453" customHeight="1">
      <x:c r="A63" s="10">
        <x:v>59</x:v>
      </x:c>
      <x:c r="B63" s="11" t="s">
        <x:v>101</x:v>
      </x:c>
      <x:c r="C63" s="12" t="s">
        <x:v>102</x:v>
      </x:c>
      <x:c r="D63" s="11" t="s">
        <x:v>103</x:v>
      </x:c>
      <x:c r="E63" s="21" t="e">
        <x:f>HYPERLINK("https://www.ui4u.go.kr/portal/staff/list.do?deptCode=38200970000&amp;mId=0505010200","열기")</x:f>
        <x:v>HYPERLINK is not implemented. linkLocation=https://www.ui4u.go.kr/portal/staff/list.do?deptCode=38200970000&amp;mId=0505010200, friendlyName=열기</x:v>
      </x:c>
    </x:row>
    <x:row r="64" ht="30.950000762939453" customHeight="1">
      <x:c r="A64" s="7">
        <x:v>60</x:v>
      </x:c>
      <x:c r="B64" s="8" t="s">
        <x:v>104</x:v>
      </x:c>
      <x:c r="C64" s="9" t="s">
        <x:v>105</x:v>
      </x:c>
      <x:c r="D64" s="8" t="s">
        <x:v>9</x:v>
      </x:c>
      <x:c r="E64" s="20" t="e">
        <x:f>HYPERLINK("https://www.gjcity.go.kr/portal/bbs/list.do?ptIdx=30&amp;mId=0314010000","열기")</x:f>
        <x:v>HYPERLINK is not implemented. linkLocation=https://www.gjcity.go.kr/portal/bbs/list.do?ptIdx=30&amp;mId=0314010000, friendlyName=열기</x:v>
      </x:c>
    </x:row>
    <x:row r="65" ht="30.950000762939453" customHeight="1">
      <x:c r="A65" s="10">
        <x:v>61</x:v>
      </x:c>
      <x:c r="B65" s="11" t="s">
        <x:v>106</x:v>
      </x:c>
      <x:c r="C65" s="12" t="s">
        <x:v>107</x:v>
      </x:c>
      <x:c r="D65" s="11" t="s">
        <x:v>9</x:v>
      </x:c>
      <x:c r="E65" s="21" t="e">
        <x:f>HYPERLINK("https://www.hanam.go.kr/www/selectBbsNttList.do?bbsNo=70&amp;key=3509","열기")</x:f>
        <x:v>HYPERLINK is not implemented. linkLocation=https://www.hanam.go.kr/www/selectBbsNttList.do?bbsNo=70&amp;key=3509, friendlyName=열기</x:v>
      </x:c>
    </x:row>
    <x:row r="66" ht="30.950000762939453" customHeight="1">
      <x:c r="A66" s="7">
        <x:v>62</x:v>
      </x:c>
      <x:c r="B66" s="8" t="s">
        <x:v>108</x:v>
      </x:c>
      <x:c r="C66" s="9" t="s">
        <x:v>109</x:v>
      </x:c>
      <x:c r="D66" s="8" t="s">
        <x:v>9</x:v>
      </x:c>
      <x:c r="E66" s="20" t="e">
        <x:f>HYPERLINK("https://www.gm.go.kr/pt/user/bbs/BD_selectBbsList.do?q_bbsCode=2055&amp;q_clCode=2","열기")</x:f>
        <x:v>HYPERLINK is not implemented. linkLocation=https://www.gm.go.kr/pt/user/bbs/BD_selectBbsList.do?q_bbsCode=2055&amp;q_clCode=2, friendlyName=열기</x:v>
      </x:c>
    </x:row>
    <x:row r="67" ht="30.950000762939453" customHeight="1">
      <x:c r="A67" s="10">
        <x:v>63</x:v>
      </x:c>
      <x:c r="B67" s="11" t="s">
        <x:v>110</x:v>
      </x:c>
      <x:c r="C67" s="12" t="s">
        <x:v>111</x:v>
      </x:c>
      <x:c r="D67" s="11" t="s">
        <x:v>86</x:v>
      </x:c>
      <x:c r="E67" s="21" t="e">
        <x:f>HYPERLINK("https://www.gunpo.go.kr/www/contents.do?key=4191","열기")</x:f>
        <x:v>HYPERLINK is not implemented. linkLocation=https://www.gunpo.go.kr/www/contents.do?key=4191, friendlyName=열기</x:v>
      </x:c>
    </x:row>
    <x:row r="68" ht="30.950000762939453" customHeight="1">
      <x:c r="A68" s="7">
        <x:v>64</x:v>
      </x:c>
      <x:c r="B68" s="8" t="s">
        <x:v>112</x:v>
      </x:c>
      <x:c r="C68" s="9" t="s">
        <x:v>113</x:v>
      </x:c>
      <x:c r="D68" s="8" t="s">
        <x:v>9</x:v>
      </x:c>
      <x:c r="E68" s="20" t="e">
        <x:f>HYPERLINK("https://lll.yangju.go.kr/www/selectBbsNttList.do?bbsNo=28&amp;key=226","열기")</x:f>
        <x:v>HYPERLINK is not implemented. linkLocation=https://lll.yangju.go.kr/www/selectBbsNttList.do?bbsNo=28&amp;key=226, friendlyName=열기</x:v>
      </x:c>
    </x:row>
    <x:row r="69" ht="30.950000762939453" customHeight="1">
      <x:c r="A69" s="10">
        <x:v>65</x:v>
      </x:c>
      <x:c r="B69" s="11" t="s">
        <x:v>114</x:v>
      </x:c>
      <x:c r="C69" s="12" t="s">
        <x:v>78</x:v>
      </x:c>
      <x:c r="D69" s="11" t="s">
        <x:v>79</x:v>
      </x:c>
      <x:c r="E69" s="21" t="e">
        <x:f>HYPERLINK("https://www.osan.go.kr/","열기")</x:f>
        <x:v>HYPERLINK is not implemented. linkLocation=https://www.osan.go.kr/, friendlyName=열기</x:v>
      </x:c>
    </x:row>
    <x:row r="70" ht="30.950000762939453" customHeight="1">
      <x:c r="A70" s="7">
        <x:v>66</x:v>
      </x:c>
      <x:c r="B70" s="8" t="s">
        <x:v>115</x:v>
      </x:c>
      <x:c r="C70" s="9" t="s">
        <x:v>116</x:v>
      </x:c>
      <x:c r="D70" s="8" t="s">
        <x:v>117</x:v>
      </x:c>
      <x:c r="E70" s="20" t="e">
        <x:f>HYPERLINK("https://www.icheon.go.kr/","열기")</x:f>
        <x:v>HYPERLINK is not implemented. linkLocation=https://www.icheon.go.kr/, friendlyName=열기</x:v>
      </x:c>
    </x:row>
    <x:row r="71" ht="30.950000762939453" customHeight="1">
      <x:c r="A71" s="10">
        <x:v>67</x:v>
      </x:c>
      <x:c r="B71" s="11" t="s">
        <x:v>118</x:v>
      </x:c>
      <x:c r="C71" s="12" t="s">
        <x:v>14</x:v>
      </x:c>
      <x:c r="D71" s="11" t="s">
        <x:v>9</x:v>
      </x:c>
      <x:c r="E71" s="21" t="e">
        <x:f>HYPERLINK("https://www.anseong.go.kr/portal/auditPlanResult/list.do?mId=0402020000","열기")</x:f>
        <x:v>HYPERLINK is not implemented. linkLocation=https://www.anseong.go.kr/portal/auditPlanResult/list.do?mId=0402020000, friendlyName=열기</x:v>
      </x:c>
    </x:row>
    <x:row r="72" ht="30.950000762939453" customHeight="1">
      <x:c r="A72" s="7">
        <x:v>68</x:v>
      </x:c>
      <x:c r="B72" s="8" t="s">
        <x:v>119</x:v>
      </x:c>
      <x:c r="C72" s="9" t="s">
        <x:v>120</x:v>
      </x:c>
      <x:c r="D72" s="8" t="s">
        <x:v>9</x:v>
      </x:c>
      <x:c r="E72" s="20" t="e">
        <x:f>HYPERLINK("https://www.guri.go.kr/www/selectBbsNttList.do?bbsNo=17&amp;key=343","열기")</x:f>
        <x:v>HYPERLINK is not implemented. linkLocation=https://www.guri.go.kr/www/selectBbsNttList.do?bbsNo=17&amp;key=343, friendlyName=열기</x:v>
      </x:c>
    </x:row>
    <x:row r="73" ht="30.950000762939453" customHeight="1">
      <x:c r="A73" s="10">
        <x:v>69</x:v>
      </x:c>
      <x:c r="B73" s="11" t="s">
        <x:v>121</x:v>
      </x:c>
      <x:c r="C73" s="12" t="s">
        <x:v>122</x:v>
      </x:c>
      <x:c r="D73" s="11" t="s">
        <x:v>9</x:v>
      </x:c>
      <x:c r="E73" s="21" t="e">
        <x:f>HYPERLINK("https://www.uiwang.go.kr/UWKOROPEN0701","열기")</x:f>
        <x:v>HYPERLINK is not implemented. linkLocation=https://www.uiwang.go.kr/UWKOROPEN0701, friendlyName=열기</x:v>
      </x:c>
    </x:row>
    <x:row r="74" ht="30.950000762939453" customHeight="1">
      <x:c r="A74" s="7">
        <x:v>70</x:v>
      </x:c>
      <x:c r="B74" s="8" t="s">
        <x:v>123</x:v>
      </x:c>
      <x:c r="C74" s="9" t="s">
        <x:v>78</x:v>
      </x:c>
      <x:c r="D74" s="8" t="s">
        <x:v>79</x:v>
      </x:c>
      <x:c r="E74" s="20" t="e">
        <x:f>HYPERLINK("https://www.pocheon.go.kr/","열기")</x:f>
        <x:v>HYPERLINK is not implemented. linkLocation=https://www.pocheon.go.kr/, friendlyName=열기</x:v>
      </x:c>
    </x:row>
    <x:row r="75" ht="30.950000762939453" customHeight="1">
      <x:c r="A75" s="10">
        <x:v>71</x:v>
      </x:c>
      <x:c r="B75" s="11" t="s">
        <x:v>124</x:v>
      </x:c>
      <x:c r="C75" s="12" t="s">
        <x:v>122</x:v>
      </x:c>
      <x:c r="D75" s="11" t="s">
        <x:v>9</x:v>
      </x:c>
      <x:c r="E75" s="21" t="e">
        <x:f>HYPERLINK("https://www.yp21.go.kr/www/selectBbsNttList.do?bbsNo=46&amp;key=1600","열기")</x:f>
        <x:v>HYPERLINK is not implemented. linkLocation=https://www.yp21.go.kr/www/selectBbsNttList.do?bbsNo=46&amp;key=1600, friendlyName=열기</x:v>
      </x:c>
    </x:row>
    <x:row r="76" ht="30.950000762939453" customHeight="1">
      <x:c r="A76" s="7">
        <x:v>72</x:v>
      </x:c>
      <x:c r="B76" s="8" t="s">
        <x:v>125</x:v>
      </x:c>
      <x:c r="C76" s="9" t="s">
        <x:v>78</x:v>
      </x:c>
      <x:c r="D76" s="8" t="s">
        <x:v>79</x:v>
      </x:c>
      <x:c r="E76" s="20" t="e">
        <x:f>HYPERLINK("https://www.yeoju.go.kr/","열기")</x:f>
        <x:v>HYPERLINK is not implemented. linkLocation=https://www.yeoju.go.kr/, friendlyName=열기</x:v>
      </x:c>
    </x:row>
    <x:row r="77" ht="30.950000762939453" customHeight="1">
      <x:c r="A77" s="10">
        <x:v>73</x:v>
      </x:c>
      <x:c r="B77" s="11" t="s">
        <x:v>126</x:v>
      </x:c>
      <x:c r="C77" s="12" t="s">
        <x:v>78</x:v>
      </x:c>
      <x:c r="D77" s="11" t="s">
        <x:v>79</x:v>
      </x:c>
      <x:c r="E77" s="21" t="e">
        <x:f>HYPERLINK("https://www.ddc.go.kr/","열기")</x:f>
        <x:v>HYPERLINK is not implemented. linkLocation=https://www.ddc.go.kr/, friendlyName=열기</x:v>
      </x:c>
    </x:row>
    <x:row r="78" ht="30.950000762939453" customHeight="1">
      <x:c r="A78" s="7">
        <x:v>74</x:v>
      </x:c>
      <x:c r="B78" s="8" t="s">
        <x:v>127</x:v>
      </x:c>
      <x:c r="C78" s="9" t="s">
        <x:v>128</x:v>
      </x:c>
      <x:c r="D78" s="8" t="s">
        <x:v>9</x:v>
      </x:c>
      <x:c r="E78" s="20" t="e">
        <x:f>HYPERLINK("https://www.gccity.go.kr/portal/bbs/list.do?mId=0201080000&amp;ptIdx=214","열기")</x:f>
        <x:v>HYPERLINK is not implemented. linkLocation=https://www.gccity.go.kr/portal/bbs/list.do?mId=0201080000&amp;ptIdx=214, friendlyName=열기</x:v>
      </x:c>
    </x:row>
    <x:row r="79" ht="30.950000762939453" customHeight="1">
      <x:c r="A79" s="10">
        <x:v>75</x:v>
      </x:c>
      <x:c r="B79" s="11" t="s">
        <x:v>129</x:v>
      </x:c>
      <x:c r="C79" s="12" t="s">
        <x:v>130</x:v>
      </x:c>
      <x:c r="D79" s="11" t="s">
        <x:v>9</x:v>
      </x:c>
      <x:c r="E79" s="21" t="e">
        <x:f>HYPERLINK("https://www.gp.go.kr/portal/selectBbsNttList.do?bbsNo=77&amp;key=448","열기")</x:f>
        <x:v>HYPERLINK is not implemented. linkLocation=https://www.gp.go.kr/portal/selectBbsNttList.do?bbsNo=77&amp;key=448, friendlyName=열기</x:v>
      </x:c>
    </x:row>
    <x:row r="80" ht="30.950000762939453" customHeight="1">
      <x:c r="A80" s="17">
        <x:v>76</x:v>
      </x:c>
      <x:c r="B80" s="18" t="s">
        <x:v>131</x:v>
      </x:c>
      <x:c r="C80" s="15" t="s">
        <x:v>132</x:v>
      </x:c>
      <x:c r="D80" s="18" t="s">
        <x:v>9</x:v>
      </x:c>
      <x:c r="E80" s="22" t="e">
        <x:f>HYPERLINK("https://www.yeoncheon.go.kr/www/selectBbsNttList.do?bbsNo=190&amp;key=3335","열기")</x:f>
        <x:v>HYPERLINK is not implemented. linkLocation=https://www.yeoncheon.go.kr/www/selectBbsNttList.do?bbsNo=190&amp;key=3335, friendlyName=열기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4964b5672cf441c"/>
  </x:tableParts>
</x:worksheet>
</file>

<file path=xl/worksheets/sheet2.xml><?xml version="1.0" encoding="utf-8"?>
<x:worksheet xmlns:x="http://schemas.openxmlformats.org/spreadsheetml/2006/main">
  <x:sheetPr>
    <x:tabColor rgb="FFFFFF00"/>
  </x:sheetPr>
  <x:sheetViews>
    <x:sheetView workbookViewId="0">
      <x:pane xSplit="3" ySplit="4" topLeftCell="D5" activePane="bottomRight" state="frozen"/>
    </x:sheetView>
  </x:sheetViews>
  <x:sheetFormatPr defaultRowHeight="14.25"/>
  <x:cols>
    <x:col min="1" max="1" width="7" style="37" customWidth="1"/>
    <x:col min="2" max="2" width="17" style="37" customWidth="1"/>
    <x:col min="3" max="3" width="23.375" style="37" customWidth="1"/>
    <x:col min="4" max="4" width="42" customWidth="1"/>
    <x:col min="5" max="5" width="19.125" customWidth="1"/>
    <x:col min="6" max="6" width="42.125" customWidth="1"/>
    <x:col min="7" max="7" width="14" customWidth="1"/>
    <x:col min="8" max="8" width="49" customWidth="1"/>
    <x:col min="9" max="9" width="46.5" customWidth="1"/>
    <x:col min="10" max="10" width="12.25" customWidth="1"/>
    <x:col min="11" max="11" width="28.75" customWidth="1"/>
  </x:cols>
  <x:sheetData>
    <x:row r="1" ht="27.950000762939453" customHeight="1">
      <x:c r="A1" s="31" t="s">
        <x:v>133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32.099998474121094" customHeight="1">
      <x:c r="A2" s="32" t="s">
        <x:v>134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 ht="8.100000381469727" customHeight="1"/>
    <x:row r="4" ht="33.95000076293945" customHeight="1">
      <x:c r="A4" s="1" t="s">
        <x:v>2</x:v>
      </x:c>
      <x:c r="B4" s="2" t="s">
        <x:v>135</x:v>
      </x:c>
      <x:c r="C4" s="2" t="s">
        <x:v>3</x:v>
      </x:c>
      <x:c r="D4" s="2" t="s">
        <x:v>136</x:v>
      </x:c>
      <x:c r="E4" s="2" t="s">
        <x:v>137</x:v>
      </x:c>
      <x:c r="F4" s="2" t="s">
        <x:v>138</x:v>
      </x:c>
      <x:c r="G4" s="2" t="s">
        <x:v>139</x:v>
      </x:c>
      <x:c r="H4" s="2" t="s">
        <x:v>140</x:v>
      </x:c>
      <x:c r="I4" s="2" t="s">
        <x:v>141</x:v>
      </x:c>
      <x:c r="J4" s="2" t="s">
        <x:v>142</x:v>
      </x:c>
      <x:c r="K4" s="3" t="s">
        <x:v>143</x:v>
      </x:c>
    </x:row>
    <x:row r="5" ht="44.099998474121094" customHeight="1">
      <x:c r="A5" s="4">
        <x:v>1</x:v>
      </x:c>
      <x:c r="B5" s="5" t="s">
        <x:v>144</x:v>
      </x:c>
      <x:c r="C5" s="5" t="s">
        <x:v>7</x:v>
      </x:c>
      <x:c r="D5" s="6" t="s">
        <x:v>8</x:v>
      </x:c>
      <x:c r="E5" s="5" t="s">
        <x:v>9</x:v>
      </x:c>
      <x:c r="F5" s="24" t="s">
        <x:v>145</x:v>
      </x:c>
      <x:c r="G5" s="5" t="s">
        <x:v>146</x:v>
      </x:c>
      <x:c r="H5" s="6" t="s">
        <x:v>147</x:v>
      </x:c>
      <x:c r="I5" s="6" t="s">
        <x:v>148</x:v>
      </x:c>
      <x:c r="J5" s="5" t="s">
        <x:v>149</x:v>
      </x:c>
      <x:c r="K5" s="23" t="s">
        <x:v>150</x:v>
      </x:c>
    </x:row>
    <x:row r="6" ht="44.099998474121094" customHeight="1">
      <x:c r="A6" s="7">
        <x:v>2</x:v>
      </x:c>
      <x:c r="B6" s="8" t="s">
        <x:v>144</x:v>
      </x:c>
      <x:c r="C6" s="8" t="s">
        <x:v>10</x:v>
      </x:c>
      <x:c r="D6" s="9" t="s">
        <x:v>11</x:v>
      </x:c>
      <x:c r="E6" s="8" t="s">
        <x:v>12</x:v>
      </x:c>
      <x:c r="F6" s="25" t="s">
        <x:v>151</x:v>
      </x:c>
      <x:c r="G6" s="8" t="s">
        <x:v>146</x:v>
      </x:c>
      <x:c r="H6" s="9" t="s">
        <x:v>152</x:v>
      </x:c>
      <x:c r="I6" s="9" t="s">
        <x:v>153</x:v>
      </x:c>
      <x:c r="J6" s="8" t="s">
        <x:v>149</x:v>
      </x:c>
      <x:c r="K6" s="13" t="s">
        <x:v>154</x:v>
      </x:c>
    </x:row>
    <x:row r="7" ht="44.099998474121094" customHeight="1">
      <x:c r="A7" s="10">
        <x:v>3</x:v>
      </x:c>
      <x:c r="B7" s="11" t="s">
        <x:v>144</x:v>
      </x:c>
      <x:c r="C7" s="11" t="s">
        <x:v>13</x:v>
      </x:c>
      <x:c r="D7" s="12" t="s">
        <x:v>14</x:v>
      </x:c>
      <x:c r="E7" s="11" t="s">
        <x:v>15</x:v>
      </x:c>
      <x:c r="F7" s="26" t="s">
        <x:v>155</x:v>
      </x:c>
      <x:c r="G7" s="11" t="s">
        <x:v>156</x:v>
      </x:c>
      <x:c r="H7" s="12" t="s">
        <x:v>157</x:v>
      </x:c>
      <x:c r="I7" s="12" t="s">
        <x:v>158</x:v>
      </x:c>
      <x:c r="J7" s="11" t="s">
        <x:v>149</x:v>
      </x:c>
      <x:c r="K7" s="14" t="s">
        <x:v>159</x:v>
      </x:c>
    </x:row>
    <x:row r="8" ht="44.099998474121094" customHeight="1">
      <x:c r="A8" s="7">
        <x:v>4</x:v>
      </x:c>
      <x:c r="B8" s="8" t="s">
        <x:v>160</x:v>
      </x:c>
      <x:c r="C8" s="8" t="s">
        <x:v>16</x:v>
      </x:c>
      <x:c r="D8" s="9" t="s">
        <x:v>17</x:v>
      </x:c>
      <x:c r="E8" s="8" t="s">
        <x:v>9</x:v>
      </x:c>
      <x:c r="F8" s="25" t="s">
        <x:v>161</x:v>
      </x:c>
      <x:c r="G8" s="8" t="s">
        <x:v>146</x:v>
      </x:c>
      <x:c r="H8" s="9" t="s">
        <x:v>162</x:v>
      </x:c>
      <x:c r="I8" s="9" t="s">
        <x:v>163</x:v>
      </x:c>
      <x:c r="J8" s="8" t="s">
        <x:v>149</x:v>
      </x:c>
      <x:c r="K8" s="13" t="s">
        <x:v>164</x:v>
      </x:c>
    </x:row>
    <x:row r="9" ht="44.099998474121094" customHeight="1">
      <x:c r="A9" s="10">
        <x:v>5</x:v>
      </x:c>
      <x:c r="B9" s="11" t="s">
        <x:v>165</x:v>
      </x:c>
      <x:c r="C9" s="11" t="s">
        <x:v>18</x:v>
      </x:c>
      <x:c r="D9" s="12" t="s">
        <x:v>19</x:v>
      </x:c>
      <x:c r="E9" s="11" t="s">
        <x:v>15</x:v>
      </x:c>
      <x:c r="F9" s="26" t="s">
        <x:v>166</x:v>
      </x:c>
      <x:c r="G9" s="11" t="s">
        <x:v>146</x:v>
      </x:c>
      <x:c r="H9" s="12" t="s">
        <x:v>167</x:v>
      </x:c>
      <x:c r="I9" s="12" t="s">
        <x:v>168</x:v>
      </x:c>
      <x:c r="J9" s="11" t="s">
        <x:v>149</x:v>
      </x:c>
      <x:c r="K9" s="14" t="s">
        <x:v>169</x:v>
      </x:c>
    </x:row>
    <x:row r="10" ht="44.099998474121094" customHeight="1">
      <x:c r="A10" s="7">
        <x:v>6</x:v>
      </x:c>
      <x:c r="B10" s="8" t="s">
        <x:v>170</x:v>
      </x:c>
      <x:c r="C10" s="8" t="s">
        <x:v>20</x:v>
      </x:c>
      <x:c r="D10" s="9" t="s">
        <x:v>21</x:v>
      </x:c>
      <x:c r="E10" s="8" t="s">
        <x:v>15</x:v>
      </x:c>
      <x:c r="F10" s="27" t="s">
        <x:v>171</x:v>
      </x:c>
      <x:c r="G10" s="8" t="s">
        <x:v>146</x:v>
      </x:c>
      <x:c r="H10" s="9" t="s">
        <x:v>172</x:v>
      </x:c>
      <x:c r="I10" s="9" t="s">
        <x:v>173</x:v>
      </x:c>
      <x:c r="J10" s="8" t="s">
        <x:v>149</x:v>
      </x:c>
      <x:c r="K10" s="13" t="s">
        <x:v>174</x:v>
      </x:c>
    </x:row>
    <x:row r="11" ht="44.099998474121094" customHeight="1">
      <x:c r="A11" s="10">
        <x:v>7</x:v>
      </x:c>
      <x:c r="B11" s="11" t="s">
        <x:v>170</x:v>
      </x:c>
      <x:c r="C11" s="11" t="s">
        <x:v>22</x:v>
      </x:c>
      <x:c r="D11" s="12" t="s">
        <x:v>19</x:v>
      </x:c>
      <x:c r="E11" s="11" t="s">
        <x:v>15</x:v>
      </x:c>
      <x:c r="F11" s="26" t="s">
        <x:v>175</x:v>
      </x:c>
      <x:c r="G11" s="11" t="s">
        <x:v>146</x:v>
      </x:c>
      <x:c r="H11" s="12" t="s">
        <x:v>176</x:v>
      </x:c>
      <x:c r="I11" s="12" t="s">
        <x:v>177</x:v>
      </x:c>
      <x:c r="J11" s="11" t="s">
        <x:v>149</x:v>
      </x:c>
      <x:c r="K11" s="14"/>
    </x:row>
    <x:row r="12" ht="44.099998474121094" customHeight="1">
      <x:c r="A12" s="7">
        <x:v>8</x:v>
      </x:c>
      <x:c r="B12" s="8" t="s">
        <x:v>170</x:v>
      </x:c>
      <x:c r="C12" s="8" t="s">
        <x:v>23</x:v>
      </x:c>
      <x:c r="D12" s="9" t="s">
        <x:v>19</x:v>
      </x:c>
      <x:c r="E12" s="8" t="s">
        <x:v>15</x:v>
      </x:c>
      <x:c r="F12" s="27" t="s">
        <x:v>178</x:v>
      </x:c>
      <x:c r="G12" s="8" t="s">
        <x:v>146</x:v>
      </x:c>
      <x:c r="H12" s="9" t="s">
        <x:v>179</x:v>
      </x:c>
      <x:c r="I12" s="9" t="s">
        <x:v>180</x:v>
      </x:c>
      <x:c r="J12" s="8" t="s">
        <x:v>149</x:v>
      </x:c>
      <x:c r="K12" s="13"/>
    </x:row>
    <x:row r="13" ht="44.099998474121094" customHeight="1">
      <x:c r="A13" s="10">
        <x:v>9</x:v>
      </x:c>
      <x:c r="B13" s="11" t="s">
        <x:v>181</x:v>
      </x:c>
      <x:c r="C13" s="11" t="str">
        <x:v>전남광주통합특별시(광주권 감사자료)</x:v>
      </x:c>
      <x:c r="D13" s="12" t="s">
        <x:v>19</x:v>
      </x:c>
      <x:c r="E13" s="11" t="s">
        <x:v>24</x:v>
      </x:c>
      <x:c r="F13" s="26" t="s">
        <x:v>182</x:v>
      </x:c>
      <x:c r="G13" s="11" t="s">
        <x:v>146</x:v>
      </x:c>
      <x:c r="H13" s="12" t="s">
        <x:v>183</x:v>
      </x:c>
      <x:c r="I13" s="12" t="s">
        <x:v>184</x:v>
      </x:c>
      <x:c r="J13" s="11" t="s">
        <x:v>149</x:v>
      </x:c>
      <x:c r="K13" s="14" t="s">
        <x:v>185</x:v>
      </x:c>
    </x:row>
    <x:row r="14" ht="44.099998474121094" customHeight="1">
      <x:c r="A14" s="7">
        <x:v>10</x:v>
      </x:c>
      <x:c r="B14" s="8" t="s">
        <x:v>170</x:v>
      </x:c>
      <x:c r="C14" s="8" t="s">
        <x:v>25</x:v>
      </x:c>
      <x:c r="D14" s="9" t="s">
        <x:v>19</x:v>
      </x:c>
      <x:c r="E14" s="8" t="s">
        <x:v>15</x:v>
      </x:c>
      <x:c r="F14" s="27" t="s">
        <x:v>186</x:v>
      </x:c>
      <x:c r="G14" s="8" t="s">
        <x:v>156</x:v>
      </x:c>
      <x:c r="H14" s="9" t="s">
        <x:v>187</x:v>
      </x:c>
      <x:c r="I14" s="9" t="s">
        <x:v>188</x:v>
      </x:c>
      <x:c r="J14" s="8" t="s">
        <x:v>149</x:v>
      </x:c>
      <x:c r="K14" s="13"/>
    </x:row>
    <x:row r="15" ht="44.099998474121094" customHeight="1">
      <x:c r="A15" s="10">
        <x:v>11</x:v>
      </x:c>
      <x:c r="B15" s="11" t="s">
        <x:v>170</x:v>
      </x:c>
      <x:c r="C15" s="11" t="s">
        <x:v>26</x:v>
      </x:c>
      <x:c r="D15" s="12" t="s">
        <x:v>19</x:v>
      </x:c>
      <x:c r="E15" s="11" t="s">
        <x:v>27</x:v>
      </x:c>
      <x:c r="F15" s="26" t="s">
        <x:v>189</x:v>
      </x:c>
      <x:c r="G15" s="11" t="s">
        <x:v>156</x:v>
      </x:c>
      <x:c r="H15" s="12" t="s">
        <x:v>190</x:v>
      </x:c>
      <x:c r="I15" s="12" t="s">
        <x:v>191</x:v>
      </x:c>
      <x:c r="J15" s="11" t="s">
        <x:v>149</x:v>
      </x:c>
      <x:c r="K15" s="14" t="s">
        <x:v>192</x:v>
      </x:c>
    </x:row>
    <x:row r="16" ht="44.099998474121094" customHeight="1">
      <x:c r="A16" s="7">
        <x:v>12</x:v>
      </x:c>
      <x:c r="B16" s="8" t="s">
        <x:v>193</x:v>
      </x:c>
      <x:c r="C16" s="8" t="s">
        <x:v>28</x:v>
      </x:c>
      <x:c r="D16" s="9" t="s">
        <x:v>29</x:v>
      </x:c>
      <x:c r="E16" s="8" t="s">
        <x:v>30</x:v>
      </x:c>
      <x:c r="F16" s="27" t="s">
        <x:v>194</x:v>
      </x:c>
      <x:c r="G16" s="8" t="s">
        <x:v>195</x:v>
      </x:c>
      <x:c r="H16" s="9" t="s">
        <x:v>196</x:v>
      </x:c>
      <x:c r="I16" s="9" t="s">
        <x:v>197</x:v>
      </x:c>
      <x:c r="J16" s="8" t="s">
        <x:v>149</x:v>
      </x:c>
      <x:c r="K16" s="13" t="s">
        <x:v>198</x:v>
      </x:c>
    </x:row>
    <x:row r="17" ht="44.099998474121094" customHeight="1">
      <x:c r="A17" s="10">
        <x:v>13</x:v>
      </x:c>
      <x:c r="B17" s="11" t="s">
        <x:v>199</x:v>
      </x:c>
      <x:c r="C17" s="11" t="s">
        <x:v>31</x:v>
      </x:c>
      <x:c r="D17" s="12" t="s">
        <x:v>21</x:v>
      </x:c>
      <x:c r="E17" s="11" t="s">
        <x:v>15</x:v>
      </x:c>
      <x:c r="F17" s="26" t="s">
        <x:v>200</x:v>
      </x:c>
      <x:c r="G17" s="11" t="s">
        <x:v>146</x:v>
      </x:c>
      <x:c r="H17" s="12" t="s">
        <x:v>201</x:v>
      </x:c>
      <x:c r="I17" s="12" t="s">
        <x:v>202</x:v>
      </x:c>
      <x:c r="J17" s="11" t="s">
        <x:v>149</x:v>
      </x:c>
      <x:c r="K17" s="14" t="s">
        <x:v>203</x:v>
      </x:c>
    </x:row>
    <x:row r="18" ht="44.099998474121094" customHeight="1">
      <x:c r="A18" s="7">
        <x:v>14</x:v>
      </x:c>
      <x:c r="B18" s="8" t="s">
        <x:v>160</x:v>
      </x:c>
      <x:c r="C18" s="8" t="s">
        <x:v>32</x:v>
      </x:c>
      <x:c r="D18" s="9" t="s">
        <x:v>21</x:v>
      </x:c>
      <x:c r="E18" s="8" t="s">
        <x:v>15</x:v>
      </x:c>
      <x:c r="F18" s="27" t="s">
        <x:v>204</x:v>
      </x:c>
      <x:c r="G18" s="8" t="s">
        <x:v>156</x:v>
      </x:c>
      <x:c r="H18" s="9" t="s">
        <x:v>205</x:v>
      </x:c>
      <x:c r="I18" s="9" t="s">
        <x:v>206</x:v>
      </x:c>
      <x:c r="J18" s="8" t="s">
        <x:v>149</x:v>
      </x:c>
      <x:c r="K18" s="13"/>
    </x:row>
    <x:row r="19" ht="44.099998474121094" customHeight="1">
      <x:c r="A19" s="10">
        <x:v>15</x:v>
      </x:c>
      <x:c r="B19" s="11" t="s">
        <x:v>160</x:v>
      </x:c>
      <x:c r="C19" s="11" t="s">
        <x:v>33</x:v>
      </x:c>
      <x:c r="D19" s="12" t="s">
        <x:v>19</x:v>
      </x:c>
      <x:c r="E19" s="11" t="s">
        <x:v>15</x:v>
      </x:c>
      <x:c r="F19" s="26" t="s">
        <x:v>207</x:v>
      </x:c>
      <x:c r="G19" s="11" t="s">
        <x:v>146</x:v>
      </x:c>
      <x:c r="H19" s="12" t="s">
        <x:v>208</x:v>
      </x:c>
      <x:c r="I19" s="12" t="s">
        <x:v>209</x:v>
      </x:c>
      <x:c r="J19" s="11" t="s">
        <x:v>149</x:v>
      </x:c>
      <x:c r="K19" s="14"/>
    </x:row>
    <x:row r="20" ht="44.099998474121094" customHeight="1">
      <x:c r="A20" s="7">
        <x:v>16</x:v>
      </x:c>
      <x:c r="B20" s="8" t="s">
        <x:v>199</x:v>
      </x:c>
      <x:c r="C20" s="8" t="s">
        <x:v>34</x:v>
      </x:c>
      <x:c r="D20" s="9" t="s">
        <x:v>21</x:v>
      </x:c>
      <x:c r="E20" s="8" t="s">
        <x:v>15</x:v>
      </x:c>
      <x:c r="F20" s="27" t="s">
        <x:v>210</x:v>
      </x:c>
      <x:c r="G20" s="8" t="s">
        <x:v>156</x:v>
      </x:c>
      <x:c r="H20" s="9" t="s">
        <x:v>211</x:v>
      </x:c>
      <x:c r="I20" s="9" t="s">
        <x:v>212</x:v>
      </x:c>
      <x:c r="J20" s="8" t="s">
        <x:v>149</x:v>
      </x:c>
      <x:c r="K20" s="13"/>
    </x:row>
    <x:row r="21" ht="44.099998474121094" customHeight="1">
      <x:c r="A21" s="10">
        <x:v>17</x:v>
      </x:c>
      <x:c r="B21" s="11" t="s">
        <x:v>181</x:v>
      </x:c>
      <x:c r="C21" s="11" t="str">
        <x:v>전남광주통합특별시(전남권 감사자료)</x:v>
      </x:c>
      <x:c r="D21" s="12" t="s">
        <x:v>19</x:v>
      </x:c>
      <x:c r="E21" s="11" t="s">
        <x:v>24</x:v>
      </x:c>
      <x:c r="F21" s="26" t="s">
        <x:v>213</x:v>
      </x:c>
      <x:c r="G21" s="11" t="s">
        <x:v>156</x:v>
      </x:c>
      <x:c r="H21" s="12" t="s">
        <x:v>214</x:v>
      </x:c>
      <x:c r="I21" s="12" t="s">
        <x:v>215</x:v>
      </x:c>
      <x:c r="J21" s="11" t="s">
        <x:v>149</x:v>
      </x:c>
      <x:c r="K21" s="14" t="s">
        <x:v>216</x:v>
      </x:c>
    </x:row>
    <x:row r="22" ht="44.099998474121094" customHeight="1">
      <x:c r="A22" s="7">
        <x:v>18</x:v>
      </x:c>
      <x:c r="B22" s="8" t="s">
        <x:v>160</x:v>
      </x:c>
      <x:c r="C22" s="8" t="s">
        <x:v>35</x:v>
      </x:c>
      <x:c r="D22" s="9" t="s">
        <x:v>19</x:v>
      </x:c>
      <x:c r="E22" s="8" t="s">
        <x:v>15</x:v>
      </x:c>
      <x:c r="F22" s="27" t="s">
        <x:v>217</x:v>
      </x:c>
      <x:c r="G22" s="8" t="s">
        <x:v>156</x:v>
      </x:c>
      <x:c r="H22" s="9" t="s">
        <x:v>218</x:v>
      </x:c>
      <x:c r="I22" s="9" t="s">
        <x:v>219</x:v>
      </x:c>
      <x:c r="J22" s="8" t="s">
        <x:v>149</x:v>
      </x:c>
      <x:c r="K22" s="13"/>
    </x:row>
    <x:row r="23" ht="44.099998474121094" customHeight="1">
      <x:c r="A23" s="10">
        <x:v>19</x:v>
      </x:c>
      <x:c r="B23" s="11" t="s">
        <x:v>160</x:v>
      </x:c>
      <x:c r="C23" s="11" t="s">
        <x:v>36</x:v>
      </x:c>
      <x:c r="D23" s="12" t="s">
        <x:v>37</x:v>
      </x:c>
      <x:c r="E23" s="11" t="s">
        <x:v>38</x:v>
      </x:c>
      <x:c r="F23" s="26" t="s">
        <x:v>220</x:v>
      </x:c>
      <x:c r="G23" s="11" t="s">
        <x:v>156</x:v>
      </x:c>
      <x:c r="H23" s="12" t="s">
        <x:v>221</x:v>
      </x:c>
      <x:c r="I23" s="12" t="s">
        <x:v>222</x:v>
      </x:c>
      <x:c r="J23" s="11" t="s">
        <x:v>149</x:v>
      </x:c>
      <x:c r="K23" s="14" t="s">
        <x:v>223</x:v>
      </x:c>
    </x:row>
    <x:row r="24" ht="44.099998474121094" customHeight="1">
      <x:c r="A24" s="7">
        <x:v>20</x:v>
      </x:c>
      <x:c r="B24" s="8" t="s">
        <x:v>199</x:v>
      </x:c>
      <x:c r="C24" s="8" t="s">
        <x:v>39</x:v>
      </x:c>
      <x:c r="D24" s="9" t="s">
        <x:v>40</x:v>
      </x:c>
      <x:c r="E24" s="8" t="s">
        <x:v>15</x:v>
      </x:c>
      <x:c r="F24" s="27" t="s">
        <x:v>224</x:v>
      </x:c>
      <x:c r="G24" s="8" t="s">
        <x:v>146</x:v>
      </x:c>
      <x:c r="H24" s="9" t="s">
        <x:v>225</x:v>
      </x:c>
      <x:c r="I24" s="9" t="s">
        <x:v>226</x:v>
      </x:c>
      <x:c r="J24" s="8" t="s">
        <x:v>149</x:v>
      </x:c>
      <x:c r="K24" s="13"/>
    </x:row>
    <x:row r="25" ht="44.099998474121094" customHeight="1">
      <x:c r="A25" s="10">
        <x:v>21</x:v>
      </x:c>
      <x:c r="B25" s="11" t="s">
        <x:v>227</x:v>
      </x:c>
      <x:c r="C25" s="11" t="s">
        <x:v>41</x:v>
      </x:c>
      <x:c r="D25" s="12" t="s">
        <x:v>42</x:v>
      </x:c>
      <x:c r="E25" s="11" t="s">
        <x:v>30</x:v>
      </x:c>
      <x:c r="F25" s="26" t="s">
        <x:v>228</x:v>
      </x:c>
      <x:c r="G25" s="11" t="s">
        <x:v>195</x:v>
      </x:c>
      <x:c r="H25" s="12" t="s">
        <x:v>229</x:v>
      </x:c>
      <x:c r="I25" s="12" t="s">
        <x:v>230</x:v>
      </x:c>
      <x:c r="J25" s="11" t="s">
        <x:v>149</x:v>
      </x:c>
      <x:c r="K25" s="14" t="s">
        <x:v>231</x:v>
      </x:c>
    </x:row>
    <x:row r="26" ht="44.099998474121094" customHeight="1">
      <x:c r="A26" s="7">
        <x:v>22</x:v>
      </x:c>
      <x:c r="B26" s="8" t="s">
        <x:v>227</x:v>
      </x:c>
      <x:c r="C26" s="8" t="s">
        <x:v>43</x:v>
      </x:c>
      <x:c r="D26" s="9" t="s">
        <x:v>42</x:v>
      </x:c>
      <x:c r="E26" s="8" t="s">
        <x:v>30</x:v>
      </x:c>
      <x:c r="F26" s="27" t="s">
        <x:v>232</x:v>
      </x:c>
      <x:c r="G26" s="8" t="s">
        <x:v>195</x:v>
      </x:c>
      <x:c r="H26" s="9" t="s">
        <x:v>229</x:v>
      </x:c>
      <x:c r="I26" s="9" t="s">
        <x:v>230</x:v>
      </x:c>
      <x:c r="J26" s="8" t="s">
        <x:v>149</x:v>
      </x:c>
      <x:c r="K26" s="13" t="s">
        <x:v>231</x:v>
      </x:c>
    </x:row>
    <x:row r="27" ht="44.099998474121094" customHeight="1">
      <x:c r="A27" s="10">
        <x:v>23</x:v>
      </x:c>
      <x:c r="B27" s="11" t="s">
        <x:v>227</x:v>
      </x:c>
      <x:c r="C27" s="11" t="s">
        <x:v>44</x:v>
      </x:c>
      <x:c r="D27" s="12" t="s">
        <x:v>42</x:v>
      </x:c>
      <x:c r="E27" s="11" t="s">
        <x:v>30</x:v>
      </x:c>
      <x:c r="F27" s="26" t="s">
        <x:v>233</x:v>
      </x:c>
      <x:c r="G27" s="11" t="s">
        <x:v>195</x:v>
      </x:c>
      <x:c r="H27" s="12" t="s">
        <x:v>229</x:v>
      </x:c>
      <x:c r="I27" s="12" t="s">
        <x:v>230</x:v>
      </x:c>
      <x:c r="J27" s="11" t="s">
        <x:v>149</x:v>
      </x:c>
      <x:c r="K27" s="14" t="s">
        <x:v>231</x:v>
      </x:c>
    </x:row>
    <x:row r="28" ht="44.099998474121094" customHeight="1">
      <x:c r="A28" s="7">
        <x:v>24</x:v>
      </x:c>
      <x:c r="B28" s="8" t="s">
        <x:v>227</x:v>
      </x:c>
      <x:c r="C28" s="8" t="s">
        <x:v>45</x:v>
      </x:c>
      <x:c r="D28" s="9" t="s">
        <x:v>42</x:v>
      </x:c>
      <x:c r="E28" s="8" t="s">
        <x:v>30</x:v>
      </x:c>
      <x:c r="F28" s="27" t="s">
        <x:v>234</x:v>
      </x:c>
      <x:c r="G28" s="8" t="s">
        <x:v>195</x:v>
      </x:c>
      <x:c r="H28" s="9" t="s">
        <x:v>229</x:v>
      </x:c>
      <x:c r="I28" s="9" t="s">
        <x:v>230</x:v>
      </x:c>
      <x:c r="J28" s="8" t="s">
        <x:v>149</x:v>
      </x:c>
      <x:c r="K28" s="13" t="s">
        <x:v>231</x:v>
      </x:c>
    </x:row>
    <x:row r="29" ht="44.099998474121094" customHeight="1">
      <x:c r="A29" s="10">
        <x:v>25</x:v>
      </x:c>
      <x:c r="B29" s="11" t="s">
        <x:v>227</x:v>
      </x:c>
      <x:c r="C29" s="11" t="s">
        <x:v>46</x:v>
      </x:c>
      <x:c r="D29" s="12" t="s">
        <x:v>47</x:v>
      </x:c>
      <x:c r="E29" s="11" t="s">
        <x:v>48</x:v>
      </x:c>
      <x:c r="F29" s="26" t="s">
        <x:v>235</x:v>
      </x:c>
      <x:c r="G29" s="11" t="s">
        <x:v>146</x:v>
      </x:c>
      <x:c r="H29" s="12" t="s">
        <x:v>236</x:v>
      </x:c>
      <x:c r="I29" s="12" t="s">
        <x:v>237</x:v>
      </x:c>
      <x:c r="J29" s="11" t="s">
        <x:v>149</x:v>
      </x:c>
      <x:c r="K29" s="14" t="s">
        <x:v>238</x:v>
      </x:c>
    </x:row>
    <x:row r="30" ht="44.099998474121094" customHeight="1">
      <x:c r="A30" s="7">
        <x:v>26</x:v>
      </x:c>
      <x:c r="B30" s="8" t="s">
        <x:v>227</x:v>
      </x:c>
      <x:c r="C30" s="8" t="s">
        <x:v>49</x:v>
      </x:c>
      <x:c r="D30" s="9" t="s">
        <x:v>50</x:v>
      </x:c>
      <x:c r="E30" s="8" t="s">
        <x:v>48</x:v>
      </x:c>
      <x:c r="F30" s="27" t="s">
        <x:v>239</x:v>
      </x:c>
      <x:c r="G30" s="8" t="s">
        <x:v>146</x:v>
      </x:c>
      <x:c r="H30" s="9" t="s">
        <x:v>236</x:v>
      </x:c>
      <x:c r="I30" s="9" t="s">
        <x:v>237</x:v>
      </x:c>
      <x:c r="J30" s="8" t="s">
        <x:v>149</x:v>
      </x:c>
      <x:c r="K30" s="13" t="s">
        <x:v>238</x:v>
      </x:c>
    </x:row>
    <x:row r="31" ht="44.099998474121094" customHeight="1">
      <x:c r="A31" s="10">
        <x:v>27</x:v>
      </x:c>
      <x:c r="B31" s="11" t="s">
        <x:v>227</x:v>
      </x:c>
      <x:c r="C31" s="11" t="s">
        <x:v>51</x:v>
      </x:c>
      <x:c r="D31" s="12" t="s">
        <x:v>42</x:v>
      </x:c>
      <x:c r="E31" s="11" t="s">
        <x:v>30</x:v>
      </x:c>
      <x:c r="F31" s="26" t="s">
        <x:v>240</x:v>
      </x:c>
      <x:c r="G31" s="11" t="s">
        <x:v>195</x:v>
      </x:c>
      <x:c r="H31" s="12" t="s">
        <x:v>229</x:v>
      </x:c>
      <x:c r="I31" s="12" t="s">
        <x:v>230</x:v>
      </x:c>
      <x:c r="J31" s="11" t="s">
        <x:v>149</x:v>
      </x:c>
      <x:c r="K31" s="14" t="s">
        <x:v>231</x:v>
      </x:c>
    </x:row>
    <x:row r="32" ht="44.099998474121094" customHeight="1">
      <x:c r="A32" s="7">
        <x:v>28</x:v>
      </x:c>
      <x:c r="B32" s="8" t="s">
        <x:v>227</x:v>
      </x:c>
      <x:c r="C32" s="8" t="s">
        <x:v>52</x:v>
      </x:c>
      <x:c r="D32" s="9" t="s">
        <x:v>19</x:v>
      </x:c>
      <x:c r="E32" s="8" t="s">
        <x:v>48</x:v>
      </x:c>
      <x:c r="F32" s="27" t="s">
        <x:v>241</x:v>
      </x:c>
      <x:c r="G32" s="8" t="s">
        <x:v>146</x:v>
      </x:c>
      <x:c r="H32" s="9" t="s">
        <x:v>236</x:v>
      </x:c>
      <x:c r="I32" s="9" t="s">
        <x:v>237</x:v>
      </x:c>
      <x:c r="J32" s="8" t="s">
        <x:v>149</x:v>
      </x:c>
      <x:c r="K32" s="13" t="s">
        <x:v>238</x:v>
      </x:c>
    </x:row>
    <x:row r="33" ht="44.099998474121094" customHeight="1">
      <x:c r="A33" s="10">
        <x:v>29</x:v>
      </x:c>
      <x:c r="B33" s="11" t="s">
        <x:v>227</x:v>
      </x:c>
      <x:c r="C33" s="11" t="s">
        <x:v>53</x:v>
      </x:c>
      <x:c r="D33" s="12" t="s">
        <x:v>42</x:v>
      </x:c>
      <x:c r="E33" s="11" t="s">
        <x:v>30</x:v>
      </x:c>
      <x:c r="F33" s="26" t="s">
        <x:v>242</x:v>
      </x:c>
      <x:c r="G33" s="11" t="s">
        <x:v>195</x:v>
      </x:c>
      <x:c r="H33" s="12" t="s">
        <x:v>229</x:v>
      </x:c>
      <x:c r="I33" s="12" t="s">
        <x:v>230</x:v>
      </x:c>
      <x:c r="J33" s="11" t="s">
        <x:v>149</x:v>
      </x:c>
      <x:c r="K33" s="14" t="s">
        <x:v>231</x:v>
      </x:c>
    </x:row>
    <x:row r="34" ht="44.099998474121094" customHeight="1">
      <x:c r="A34" s="7">
        <x:v>30</x:v>
      </x:c>
      <x:c r="B34" s="8" t="s">
        <x:v>227</x:v>
      </x:c>
      <x:c r="C34" s="8" t="s">
        <x:v>54</x:v>
      </x:c>
      <x:c r="D34" s="9" t="s">
        <x:v>42</x:v>
      </x:c>
      <x:c r="E34" s="8" t="s">
        <x:v>30</x:v>
      </x:c>
      <x:c r="F34" s="27" t="s">
        <x:v>243</x:v>
      </x:c>
      <x:c r="G34" s="8" t="s">
        <x:v>195</x:v>
      </x:c>
      <x:c r="H34" s="9" t="s">
        <x:v>229</x:v>
      </x:c>
      <x:c r="I34" s="9" t="s">
        <x:v>230</x:v>
      </x:c>
      <x:c r="J34" s="8" t="s">
        <x:v>149</x:v>
      </x:c>
      <x:c r="K34" s="13" t="s">
        <x:v>231</x:v>
      </x:c>
    </x:row>
    <x:row r="35" ht="44.099998474121094" customHeight="1">
      <x:c r="A35" s="10">
        <x:v>31</x:v>
      </x:c>
      <x:c r="B35" s="11" t="s">
        <x:v>227</x:v>
      </x:c>
      <x:c r="C35" s="11" t="s">
        <x:v>55</x:v>
      </x:c>
      <x:c r="D35" s="12" t="s">
        <x:v>42</x:v>
      </x:c>
      <x:c r="E35" s="11" t="s">
        <x:v>30</x:v>
      </x:c>
      <x:c r="F35" s="26" t="s">
        <x:v>244</x:v>
      </x:c>
      <x:c r="G35" s="11" t="s">
        <x:v>195</x:v>
      </x:c>
      <x:c r="H35" s="12" t="s">
        <x:v>229</x:v>
      </x:c>
      <x:c r="I35" s="12" t="s">
        <x:v>230</x:v>
      </x:c>
      <x:c r="J35" s="11" t="s">
        <x:v>149</x:v>
      </x:c>
      <x:c r="K35" s="14" t="s">
        <x:v>231</x:v>
      </x:c>
    </x:row>
    <x:row r="36" ht="44.099998474121094" customHeight="1">
      <x:c r="A36" s="7">
        <x:v>32</x:v>
      </x:c>
      <x:c r="B36" s="8" t="s">
        <x:v>227</x:v>
      </x:c>
      <x:c r="C36" s="8" t="s">
        <x:v>56</x:v>
      </x:c>
      <x:c r="D36" s="9" t="s">
        <x:v>42</x:v>
      </x:c>
      <x:c r="E36" s="8" t="s">
        <x:v>30</x:v>
      </x:c>
      <x:c r="F36" s="27" t="s">
        <x:v>245</x:v>
      </x:c>
      <x:c r="G36" s="8" t="s">
        <x:v>195</x:v>
      </x:c>
      <x:c r="H36" s="9" t="s">
        <x:v>229</x:v>
      </x:c>
      <x:c r="I36" s="9" t="s">
        <x:v>230</x:v>
      </x:c>
      <x:c r="J36" s="8" t="s">
        <x:v>149</x:v>
      </x:c>
      <x:c r="K36" s="13" t="s">
        <x:v>231</x:v>
      </x:c>
    </x:row>
    <x:row r="37" ht="44.099998474121094" customHeight="1">
      <x:c r="A37" s="10">
        <x:v>33</x:v>
      </x:c>
      <x:c r="B37" s="11" t="s">
        <x:v>227</x:v>
      </x:c>
      <x:c r="C37" s="11" t="s">
        <x:v>57</x:v>
      </x:c>
      <x:c r="D37" s="12" t="s">
        <x:v>21</x:v>
      </x:c>
      <x:c r="E37" s="11" t="s">
        <x:v>48</x:v>
      </x:c>
      <x:c r="F37" s="26" t="s">
        <x:v>246</x:v>
      </x:c>
      <x:c r="G37" s="11" t="s">
        <x:v>146</x:v>
      </x:c>
      <x:c r="H37" s="12" t="s">
        <x:v>236</x:v>
      </x:c>
      <x:c r="I37" s="12" t="s">
        <x:v>237</x:v>
      </x:c>
      <x:c r="J37" s="11" t="s">
        <x:v>149</x:v>
      </x:c>
      <x:c r="K37" s="14" t="s">
        <x:v>238</x:v>
      </x:c>
    </x:row>
    <x:row r="38" ht="44.099998474121094" customHeight="1">
      <x:c r="A38" s="7">
        <x:v>34</x:v>
      </x:c>
      <x:c r="B38" s="8" t="s">
        <x:v>227</x:v>
      </x:c>
      <x:c r="C38" s="8" t="s">
        <x:v>58</x:v>
      </x:c>
      <x:c r="D38" s="9" t="s">
        <x:v>42</x:v>
      </x:c>
      <x:c r="E38" s="8" t="s">
        <x:v>30</x:v>
      </x:c>
      <x:c r="F38" s="28" t="s">
        <x:v>247</x:v>
      </x:c>
      <x:c r="G38" s="8" t="s">
        <x:v>195</x:v>
      </x:c>
      <x:c r="H38" s="9" t="s">
        <x:v>229</x:v>
      </x:c>
      <x:c r="I38" s="9" t="s">
        <x:v>230</x:v>
      </x:c>
      <x:c r="J38" s="8" t="s">
        <x:v>149</x:v>
      </x:c>
      <x:c r="K38" s="13" t="s">
        <x:v>231</x:v>
      </x:c>
    </x:row>
    <x:row r="39" ht="44.099998474121094" customHeight="1">
      <x:c r="A39" s="10">
        <x:v>35</x:v>
      </x:c>
      <x:c r="B39" s="11" t="s">
        <x:v>227</x:v>
      </x:c>
      <x:c r="C39" s="11" t="s">
        <x:v>59</x:v>
      </x:c>
      <x:c r="D39" s="12" t="s">
        <x:v>42</x:v>
      </x:c>
      <x:c r="E39" s="11" t="s">
        <x:v>30</x:v>
      </x:c>
      <x:c r="F39" s="29" t="s">
        <x:v>248</x:v>
      </x:c>
      <x:c r="G39" s="11" t="s">
        <x:v>195</x:v>
      </x:c>
      <x:c r="H39" s="12" t="s">
        <x:v>229</x:v>
      </x:c>
      <x:c r="I39" s="12" t="s">
        <x:v>230</x:v>
      </x:c>
      <x:c r="J39" s="11" t="s">
        <x:v>149</x:v>
      </x:c>
      <x:c r="K39" s="14" t="s">
        <x:v>231</x:v>
      </x:c>
    </x:row>
    <x:row r="40" ht="44.099998474121094" customHeight="1">
      <x:c r="A40" s="7">
        <x:v>36</x:v>
      </x:c>
      <x:c r="B40" s="8" t="s">
        <x:v>227</x:v>
      </x:c>
      <x:c r="C40" s="8" t="s">
        <x:v>60</x:v>
      </x:c>
      <x:c r="D40" s="9" t="s">
        <x:v>42</x:v>
      </x:c>
      <x:c r="E40" s="8" t="s">
        <x:v>30</x:v>
      </x:c>
      <x:c r="F40" s="28" t="s">
        <x:v>249</x:v>
      </x:c>
      <x:c r="G40" s="8" t="s">
        <x:v>195</x:v>
      </x:c>
      <x:c r="H40" s="9" t="s">
        <x:v>229</x:v>
      </x:c>
      <x:c r="I40" s="9" t="s">
        <x:v>230</x:v>
      </x:c>
      <x:c r="J40" s="8" t="s">
        <x:v>149</x:v>
      </x:c>
      <x:c r="K40" s="13" t="s">
        <x:v>231</x:v>
      </x:c>
    </x:row>
    <x:row r="41" ht="44.099998474121094" customHeight="1">
      <x:c r="A41" s="10">
        <x:v>37</x:v>
      </x:c>
      <x:c r="B41" s="11" t="s">
        <x:v>227</x:v>
      </x:c>
      <x:c r="C41" s="11" t="s">
        <x:v>61</x:v>
      </x:c>
      <x:c r="D41" s="12" t="s">
        <x:v>62</x:v>
      </x:c>
      <x:c r="E41" s="11" t="s">
        <x:v>48</x:v>
      </x:c>
      <x:c r="F41" s="29" t="s">
        <x:v>250</x:v>
      </x:c>
      <x:c r="G41" s="11" t="s">
        <x:v>146</x:v>
      </x:c>
      <x:c r="H41" s="12" t="s">
        <x:v>236</x:v>
      </x:c>
      <x:c r="I41" s="12" t="s">
        <x:v>237</x:v>
      </x:c>
      <x:c r="J41" s="11" t="s">
        <x:v>149</x:v>
      </x:c>
      <x:c r="K41" s="14" t="s">
        <x:v>238</x:v>
      </x:c>
    </x:row>
    <x:row r="42" ht="44.099998474121094" customHeight="1">
      <x:c r="A42" s="7">
        <x:v>38</x:v>
      </x:c>
      <x:c r="B42" s="8" t="s">
        <x:v>227</x:v>
      </x:c>
      <x:c r="C42" s="8" t="s">
        <x:v>63</x:v>
      </x:c>
      <x:c r="D42" s="9" t="s">
        <x:v>42</x:v>
      </x:c>
      <x:c r="E42" s="8" t="s">
        <x:v>30</x:v>
      </x:c>
      <x:c r="F42" s="28" t="s">
        <x:v>251</x:v>
      </x:c>
      <x:c r="G42" s="8" t="s">
        <x:v>195</x:v>
      </x:c>
      <x:c r="H42" s="9" t="s">
        <x:v>229</x:v>
      </x:c>
      <x:c r="I42" s="9" t="s">
        <x:v>230</x:v>
      </x:c>
      <x:c r="J42" s="8" t="s">
        <x:v>149</x:v>
      </x:c>
      <x:c r="K42" s="13" t="s">
        <x:v>231</x:v>
      </x:c>
    </x:row>
    <x:row r="43" ht="44.099998474121094" customHeight="1">
      <x:c r="A43" s="10">
        <x:v>39</x:v>
      </x:c>
      <x:c r="B43" s="11" t="s">
        <x:v>227</x:v>
      </x:c>
      <x:c r="C43" s="11" t="s">
        <x:v>64</x:v>
      </x:c>
      <x:c r="D43" s="12" t="s">
        <x:v>21</x:v>
      </x:c>
      <x:c r="E43" s="11" t="s">
        <x:v>48</x:v>
      </x:c>
      <x:c r="F43" s="29" t="s">
        <x:v>252</x:v>
      </x:c>
      <x:c r="G43" s="11" t="s">
        <x:v>146</x:v>
      </x:c>
      <x:c r="H43" s="12" t="s">
        <x:v>236</x:v>
      </x:c>
      <x:c r="I43" s="12" t="s">
        <x:v>237</x:v>
      </x:c>
      <x:c r="J43" s="11" t="s">
        <x:v>149</x:v>
      </x:c>
      <x:c r="K43" s="14" t="s">
        <x:v>238</x:v>
      </x:c>
    </x:row>
    <x:row r="44" ht="44.099998474121094" customHeight="1">
      <x:c r="A44" s="7">
        <x:v>40</x:v>
      </x:c>
      <x:c r="B44" s="8" t="s">
        <x:v>227</x:v>
      </x:c>
      <x:c r="C44" s="8" t="s">
        <x:v>65</x:v>
      </x:c>
      <x:c r="D44" s="9" t="s">
        <x:v>19</x:v>
      </x:c>
      <x:c r="E44" s="8" t="s">
        <x:v>48</x:v>
      </x:c>
      <x:c r="F44" s="28" t="s">
        <x:v>253</x:v>
      </x:c>
      <x:c r="G44" s="8" t="s">
        <x:v>146</x:v>
      </x:c>
      <x:c r="H44" s="9" t="s">
        <x:v>236</x:v>
      </x:c>
      <x:c r="I44" s="9" t="s">
        <x:v>237</x:v>
      </x:c>
      <x:c r="J44" s="8" t="s">
        <x:v>149</x:v>
      </x:c>
      <x:c r="K44" s="13" t="s">
        <x:v>238</x:v>
      </x:c>
    </x:row>
    <x:row r="45" ht="44.099998474121094" customHeight="1">
      <x:c r="A45" s="10">
        <x:v>41</x:v>
      </x:c>
      <x:c r="B45" s="11" t="s">
        <x:v>227</x:v>
      </x:c>
      <x:c r="C45" s="11" t="s">
        <x:v>66</x:v>
      </x:c>
      <x:c r="D45" s="12" t="s">
        <x:v>42</x:v>
      </x:c>
      <x:c r="E45" s="11" t="s">
        <x:v>30</x:v>
      </x:c>
      <x:c r="F45" s="29" t="s">
        <x:v>254</x:v>
      </x:c>
      <x:c r="G45" s="11" t="s">
        <x:v>195</x:v>
      </x:c>
      <x:c r="H45" s="12" t="s">
        <x:v>229</x:v>
      </x:c>
      <x:c r="I45" s="12" t="s">
        <x:v>230</x:v>
      </x:c>
      <x:c r="J45" s="11" t="s">
        <x:v>149</x:v>
      </x:c>
      <x:c r="K45" s="14" t="s">
        <x:v>231</x:v>
      </x:c>
    </x:row>
    <x:row r="46" ht="44.099998474121094" customHeight="1">
      <x:c r="A46" s="7">
        <x:v>42</x:v>
      </x:c>
      <x:c r="B46" s="8" t="s">
        <x:v>227</x:v>
      </x:c>
      <x:c r="C46" s="8" t="s">
        <x:v>67</x:v>
      </x:c>
      <x:c r="D46" s="9" t="s">
        <x:v>68</x:v>
      </x:c>
      <x:c r="E46" s="8" t="s">
        <x:v>48</x:v>
      </x:c>
      <x:c r="F46" s="28" t="s">
        <x:v>255</x:v>
      </x:c>
      <x:c r="G46" s="8" t="s">
        <x:v>156</x:v>
      </x:c>
      <x:c r="H46" s="9" t="s">
        <x:v>236</x:v>
      </x:c>
      <x:c r="I46" s="9" t="s">
        <x:v>237</x:v>
      </x:c>
      <x:c r="J46" s="8" t="s">
        <x:v>149</x:v>
      </x:c>
      <x:c r="K46" s="13" t="s">
        <x:v>256</x:v>
      </x:c>
    </x:row>
    <x:row r="47" ht="44.099998474121094" customHeight="1">
      <x:c r="A47" s="10">
        <x:v>43</x:v>
      </x:c>
      <x:c r="B47" s="11" t="s">
        <x:v>227</x:v>
      </x:c>
      <x:c r="C47" s="11" t="s">
        <x:v>69</x:v>
      </x:c>
      <x:c r="D47" s="12" t="s">
        <x:v>70</x:v>
      </x:c>
      <x:c r="E47" s="11" t="s">
        <x:v>48</x:v>
      </x:c>
      <x:c r="F47" s="29" t="s">
        <x:v>257</x:v>
      </x:c>
      <x:c r="G47" s="11" t="s">
        <x:v>156</x:v>
      </x:c>
      <x:c r="H47" s="12" t="s">
        <x:v>236</x:v>
      </x:c>
      <x:c r="I47" s="12" t="s">
        <x:v>237</x:v>
      </x:c>
      <x:c r="J47" s="11" t="s">
        <x:v>149</x:v>
      </x:c>
      <x:c r="K47" s="14" t="s">
        <x:v>256</x:v>
      </x:c>
    </x:row>
    <x:row r="48" ht="44.099998474121094" customHeight="1">
      <x:c r="A48" s="7">
        <x:v>44</x:v>
      </x:c>
      <x:c r="B48" s="8" t="s">
        <x:v>227</x:v>
      </x:c>
      <x:c r="C48" s="8" t="s">
        <x:v>71</x:v>
      </x:c>
      <x:c r="D48" s="9" t="s">
        <x:v>42</x:v>
      </x:c>
      <x:c r="E48" s="8" t="s">
        <x:v>30</x:v>
      </x:c>
      <x:c r="F48" s="28" t="s">
        <x:v>258</x:v>
      </x:c>
      <x:c r="G48" s="8" t="s">
        <x:v>195</x:v>
      </x:c>
      <x:c r="H48" s="9" t="s">
        <x:v>229</x:v>
      </x:c>
      <x:c r="I48" s="9" t="s">
        <x:v>230</x:v>
      </x:c>
      <x:c r="J48" s="8" t="s">
        <x:v>149</x:v>
      </x:c>
      <x:c r="K48" s="13" t="s">
        <x:v>231</x:v>
      </x:c>
    </x:row>
    <x:row r="49" ht="44.099998474121094" customHeight="1">
      <x:c r="A49" s="10">
        <x:v>45</x:v>
      </x:c>
      <x:c r="B49" s="11" t="s">
        <x:v>227</x:v>
      </x:c>
      <x:c r="C49" s="11" t="s">
        <x:v>72</x:v>
      </x:c>
      <x:c r="D49" s="12" t="s">
        <x:v>42</x:v>
      </x:c>
      <x:c r="E49" s="11" t="s">
        <x:v>30</x:v>
      </x:c>
      <x:c r="F49" s="29" t="s">
        <x:v>259</x:v>
      </x:c>
      <x:c r="G49" s="11" t="s">
        <x:v>195</x:v>
      </x:c>
      <x:c r="H49" s="12" t="s">
        <x:v>229</x:v>
      </x:c>
      <x:c r="I49" s="12" t="s">
        <x:v>230</x:v>
      </x:c>
      <x:c r="J49" s="11" t="s">
        <x:v>149</x:v>
      </x:c>
      <x:c r="K49" s="14" t="s">
        <x:v>231</x:v>
      </x:c>
    </x:row>
    <x:row r="50" ht="44.099998474121094" customHeight="1">
      <x:c r="A50" s="7">
        <x:v>46</x:v>
      </x:c>
      <x:c r="B50" s="8" t="s">
        <x:v>260</x:v>
      </x:c>
      <x:c r="C50" s="8" t="s">
        <x:v>73</x:v>
      </x:c>
      <x:c r="D50" s="9" t="s">
        <x:v>74</x:v>
      </x:c>
      <x:c r="E50" s="8" t="s">
        <x:v>9</x:v>
      </x:c>
      <x:c r="F50" s="28" t="s">
        <x:v>261</x:v>
      </x:c>
      <x:c r="G50" s="8" t="s">
        <x:v>156</x:v>
      </x:c>
      <x:c r="H50" s="9" t="s">
        <x:v>262</x:v>
      </x:c>
      <x:c r="I50" s="9" t="s">
        <x:v>263</x:v>
      </x:c>
      <x:c r="J50" s="8" t="s">
        <x:v>264</x:v>
      </x:c>
      <x:c r="K50" s="13"/>
    </x:row>
    <x:row r="51" ht="44.099998474121094" customHeight="1">
      <x:c r="A51" s="10">
        <x:v>47</x:v>
      </x:c>
      <x:c r="B51" s="11" t="s">
        <x:v>260</x:v>
      </x:c>
      <x:c r="C51" s="11" t="s">
        <x:v>75</x:v>
      </x:c>
      <x:c r="D51" s="12" t="s">
        <x:v>76</x:v>
      </x:c>
      <x:c r="E51" s="11" t="s">
        <x:v>9</x:v>
      </x:c>
      <x:c r="F51" s="29" t="s">
        <x:v>265</x:v>
      </x:c>
      <x:c r="G51" s="11" t="s">
        <x:v>146</x:v>
      </x:c>
      <x:c r="H51" s="12" t="s">
        <x:v>266</x:v>
      </x:c>
      <x:c r="I51" s="12" t="s">
        <x:v>267</x:v>
      </x:c>
      <x:c r="J51" s="11" t="s">
        <x:v>264</x:v>
      </x:c>
      <x:c r="K51" s="14" t="s">
        <x:v>268</x:v>
      </x:c>
    </x:row>
    <x:row r="52" ht="44.099998474121094" customHeight="1">
      <x:c r="A52" s="7">
        <x:v>48</x:v>
      </x:c>
      <x:c r="B52" s="8" t="s">
        <x:v>260</x:v>
      </x:c>
      <x:c r="C52" s="8" t="s">
        <x:v>77</x:v>
      </x:c>
      <x:c r="D52" s="9" t="s">
        <x:v>78</x:v>
      </x:c>
      <x:c r="E52" s="8" t="s">
        <x:v>79</x:v>
      </x:c>
      <x:c r="F52" s="28" t="s">
        <x:v>269</x:v>
      </x:c>
      <x:c r="G52" s="8" t="s">
        <x:v>195</x:v>
      </x:c>
      <x:c r="H52" s="9" t="s">
        <x:v>270</x:v>
      </x:c>
      <x:c r="I52" s="9" t="s">
        <x:v>271</x:v>
      </x:c>
      <x:c r="J52" s="8" t="s">
        <x:v>264</x:v>
      </x:c>
      <x:c r="K52" s="13" t="s">
        <x:v>272</x:v>
      </x:c>
    </x:row>
    <x:row r="53" ht="44.099998474121094" customHeight="1">
      <x:c r="A53" s="10">
        <x:v>49</x:v>
      </x:c>
      <x:c r="B53" s="11" t="s">
        <x:v>260</x:v>
      </x:c>
      <x:c r="C53" s="11" t="s">
        <x:v>80</x:v>
      </x:c>
      <x:c r="D53" s="12" t="s">
        <x:v>81</x:v>
      </x:c>
      <x:c r="E53" s="11" t="s">
        <x:v>9</x:v>
      </x:c>
      <x:c r="F53" s="29" t="s">
        <x:v>273</x:v>
      </x:c>
      <x:c r="G53" s="11" t="s">
        <x:v>146</x:v>
      </x:c>
      <x:c r="H53" s="12" t="s">
        <x:v>274</x:v>
      </x:c>
      <x:c r="I53" s="12" t="s">
        <x:v>275</x:v>
      </x:c>
      <x:c r="J53" s="11" t="s">
        <x:v>264</x:v>
      </x:c>
      <x:c r="K53" s="14"/>
    </x:row>
    <x:row r="54" ht="44.099998474121094" customHeight="1">
      <x:c r="A54" s="7">
        <x:v>50</x:v>
      </x:c>
      <x:c r="B54" s="8" t="s">
        <x:v>260</x:v>
      </x:c>
      <x:c r="C54" s="8" t="s">
        <x:v>82</x:v>
      </x:c>
      <x:c r="D54" s="9" t="s">
        <x:v>83</x:v>
      </x:c>
      <x:c r="E54" s="8" t="s">
        <x:v>9</x:v>
      </x:c>
      <x:c r="F54" s="28" t="s">
        <x:v>276</x:v>
      </x:c>
      <x:c r="G54" s="8" t="s">
        <x:v>146</x:v>
      </x:c>
      <x:c r="H54" s="9" t="s">
        <x:v>277</x:v>
      </x:c>
      <x:c r="I54" s="9" t="s">
        <x:v>278</x:v>
      </x:c>
      <x:c r="J54" s="8" t="s">
        <x:v>264</x:v>
      </x:c>
      <x:c r="K54" s="13" t="s">
        <x:v>279</x:v>
      </x:c>
    </x:row>
    <x:row r="55" ht="44.099998474121094" customHeight="1">
      <x:c r="A55" s="10">
        <x:v>51</x:v>
      </x:c>
      <x:c r="B55" s="11" t="s">
        <x:v>260</x:v>
      </x:c>
      <x:c r="C55" s="11" t="s">
        <x:v>84</x:v>
      </x:c>
      <x:c r="D55" s="12" t="s">
        <x:v>85</x:v>
      </x:c>
      <x:c r="E55" s="11" t="s">
        <x:v>86</x:v>
      </x:c>
      <x:c r="F55" s="29" t="s">
        <x:v>280</x:v>
      </x:c>
      <x:c r="G55" s="11" t="s">
        <x:v>156</x:v>
      </x:c>
      <x:c r="H55" s="12" t="s">
        <x:v>281</x:v>
      </x:c>
      <x:c r="I55" s="12" t="s">
        <x:v>282</x:v>
      </x:c>
      <x:c r="J55" s="11" t="s">
        <x:v>264</x:v>
      </x:c>
      <x:c r="K55" s="14" t="s">
        <x:v>283</x:v>
      </x:c>
    </x:row>
    <x:row r="56" ht="44.099998474121094" customHeight="1">
      <x:c r="A56" s="7">
        <x:v>52</x:v>
      </x:c>
      <x:c r="B56" s="8" t="s">
        <x:v>260</x:v>
      </x:c>
      <x:c r="C56" s="8" t="s">
        <x:v>87</x:v>
      </x:c>
      <x:c r="D56" s="9" t="s">
        <x:v>88</x:v>
      </x:c>
      <x:c r="E56" s="8" t="s">
        <x:v>86</x:v>
      </x:c>
      <x:c r="F56" s="28" t="s">
        <x:v>284</x:v>
      </x:c>
      <x:c r="G56" s="8" t="s">
        <x:v>156</x:v>
      </x:c>
      <x:c r="H56" s="9" t="s">
        <x:v>285</x:v>
      </x:c>
      <x:c r="I56" s="9" t="s">
        <x:v>286</x:v>
      </x:c>
      <x:c r="J56" s="8" t="s">
        <x:v>264</x:v>
      </x:c>
      <x:c r="K56" s="13"/>
    </x:row>
    <x:row r="57" ht="44.099998474121094" customHeight="1">
      <x:c r="A57" s="10">
        <x:v>53</x:v>
      </x:c>
      <x:c r="B57" s="11" t="s">
        <x:v>260</x:v>
      </x:c>
      <x:c r="C57" s="11" t="s">
        <x:v>89</x:v>
      </x:c>
      <x:c r="D57" s="12" t="s">
        <x:v>90</x:v>
      </x:c>
      <x:c r="E57" s="11" t="s">
        <x:v>91</x:v>
      </x:c>
      <x:c r="F57" s="29" t="s">
        <x:v>287</x:v>
      </x:c>
      <x:c r="G57" s="11" t="s">
        <x:v>156</x:v>
      </x:c>
      <x:c r="H57" s="12" t="s">
        <x:v>288</x:v>
      </x:c>
      <x:c r="I57" s="12" t="s">
        <x:v>289</x:v>
      </x:c>
      <x:c r="J57" s="11" t="s">
        <x:v>264</x:v>
      </x:c>
      <x:c r="K57" s="14"/>
    </x:row>
    <x:row r="58" ht="44.099998474121094" customHeight="1">
      <x:c r="A58" s="7">
        <x:v>54</x:v>
      </x:c>
      <x:c r="B58" s="8" t="s">
        <x:v>260</x:v>
      </x:c>
      <x:c r="C58" s="8" t="s">
        <x:v>92</x:v>
      </x:c>
      <x:c r="D58" s="9" t="s">
        <x:v>78</x:v>
      </x:c>
      <x:c r="E58" s="8" t="s">
        <x:v>79</x:v>
      </x:c>
      <x:c r="F58" s="28" t="s">
        <x:v>290</x:v>
      </x:c>
      <x:c r="G58" s="8" t="s">
        <x:v>195</x:v>
      </x:c>
      <x:c r="H58" s="9" t="s">
        <x:v>291</x:v>
      </x:c>
      <x:c r="I58" s="9" t="s">
        <x:v>292</x:v>
      </x:c>
      <x:c r="J58" s="8" t="s">
        <x:v>264</x:v>
      </x:c>
      <x:c r="K58" s="13" t="s">
        <x:v>272</x:v>
      </x:c>
    </x:row>
    <x:row r="59" ht="44.099998474121094" customHeight="1">
      <x:c r="A59" s="10">
        <x:v>55</x:v>
      </x:c>
      <x:c r="B59" s="11" t="s">
        <x:v>260</x:v>
      </x:c>
      <x:c r="C59" s="11" t="s">
        <x:v>93</x:v>
      </x:c>
      <x:c r="D59" s="12" t="s">
        <x:v>94</x:v>
      </x:c>
      <x:c r="E59" s="11" t="s">
        <x:v>9</x:v>
      </x:c>
      <x:c r="F59" s="29" t="s">
        <x:v>293</x:v>
      </x:c>
      <x:c r="G59" s="11" t="s">
        <x:v>146</x:v>
      </x:c>
      <x:c r="H59" s="12" t="s">
        <x:v>294</x:v>
      </x:c>
      <x:c r="I59" s="12" t="s">
        <x:v>295</x:v>
      </x:c>
      <x:c r="J59" s="11" t="s">
        <x:v>264</x:v>
      </x:c>
      <x:c r="K59" s="14"/>
    </x:row>
    <x:row r="60" ht="44.099998474121094" customHeight="1">
      <x:c r="A60" s="7">
        <x:v>56</x:v>
      </x:c>
      <x:c r="B60" s="8" t="s">
        <x:v>260</x:v>
      </x:c>
      <x:c r="C60" s="8" t="s">
        <x:v>95</x:v>
      </x:c>
      <x:c r="D60" s="9" t="s">
        <x:v>96</x:v>
      </x:c>
      <x:c r="E60" s="8" t="s">
        <x:v>97</x:v>
      </x:c>
      <x:c r="F60" s="28" t="s">
        <x:v>296</x:v>
      </x:c>
      <x:c r="G60" s="8" t="s">
        <x:v>156</x:v>
      </x:c>
      <x:c r="H60" s="9" t="s">
        <x:v>297</x:v>
      </x:c>
      <x:c r="I60" s="9" t="s">
        <x:v>298</x:v>
      </x:c>
      <x:c r="J60" s="8" t="s">
        <x:v>264</x:v>
      </x:c>
      <x:c r="K60" s="13" t="s">
        <x:v>299</x:v>
      </x:c>
    </x:row>
    <x:row r="61" ht="44.099998474121094" customHeight="1">
      <x:c r="A61" s="10">
        <x:v>57</x:v>
      </x:c>
      <x:c r="B61" s="11" t="s">
        <x:v>260</x:v>
      </x:c>
      <x:c r="C61" s="11" t="s">
        <x:v>98</x:v>
      </x:c>
      <x:c r="D61" s="12" t="s">
        <x:v>99</x:v>
      </x:c>
      <x:c r="E61" s="11" t="s">
        <x:v>9</x:v>
      </x:c>
      <x:c r="F61" s="29" t="s">
        <x:v>300</x:v>
      </x:c>
      <x:c r="G61" s="11" t="s">
        <x:v>146</x:v>
      </x:c>
      <x:c r="H61" s="12" t="s">
        <x:v>301</x:v>
      </x:c>
      <x:c r="I61" s="12" t="s">
        <x:v>302</x:v>
      </x:c>
      <x:c r="J61" s="11" t="s">
        <x:v>264</x:v>
      </x:c>
      <x:c r="K61" s="14" t="s">
        <x:v>303</x:v>
      </x:c>
    </x:row>
    <x:row r="62" ht="44.099998474121094" customHeight="1">
      <x:c r="A62" s="7">
        <x:v>58</x:v>
      </x:c>
      <x:c r="B62" s="8" t="s">
        <x:v>260</x:v>
      </x:c>
      <x:c r="C62" s="8" t="s">
        <x:v>100</x:v>
      </x:c>
      <x:c r="D62" s="9" t="s">
        <x:v>81</x:v>
      </x:c>
      <x:c r="E62" s="8" t="s">
        <x:v>9</x:v>
      </x:c>
      <x:c r="F62" s="28" t="s">
        <x:v>304</x:v>
      </x:c>
      <x:c r="G62" s="8" t="s">
        <x:v>146</x:v>
      </x:c>
      <x:c r="H62" s="9" t="s">
        <x:v>305</x:v>
      </x:c>
      <x:c r="I62" s="9" t="s">
        <x:v>306</x:v>
      </x:c>
      <x:c r="J62" s="8" t="s">
        <x:v>264</x:v>
      </x:c>
      <x:c r="K62" s="13"/>
    </x:row>
    <x:row r="63" ht="44.099998474121094" customHeight="1">
      <x:c r="A63" s="10">
        <x:v>59</x:v>
      </x:c>
      <x:c r="B63" s="11" t="s">
        <x:v>260</x:v>
      </x:c>
      <x:c r="C63" s="11" t="s">
        <x:v>101</x:v>
      </x:c>
      <x:c r="D63" s="12" t="s">
        <x:v>102</x:v>
      </x:c>
      <x:c r="E63" s="11" t="s">
        <x:v>103</x:v>
      </x:c>
      <x:c r="F63" s="29" t="s">
        <x:v>307</x:v>
      </x:c>
      <x:c r="G63" s="11" t="s">
        <x:v>195</x:v>
      </x:c>
      <x:c r="H63" s="12" t="s">
        <x:v>308</x:v>
      </x:c>
      <x:c r="I63" s="12" t="s">
        <x:v>309</x:v>
      </x:c>
      <x:c r="J63" s="11" t="s">
        <x:v>264</x:v>
      </x:c>
      <x:c r="K63" s="14" t="s">
        <x:v>272</x:v>
      </x:c>
    </x:row>
    <x:row r="64" ht="44.099998474121094" customHeight="1">
      <x:c r="A64" s="7">
        <x:v>60</x:v>
      </x:c>
      <x:c r="B64" s="8" t="s">
        <x:v>260</x:v>
      </x:c>
      <x:c r="C64" s="8" t="s">
        <x:v>104</x:v>
      </x:c>
      <x:c r="D64" s="9" t="s">
        <x:v>105</x:v>
      </x:c>
      <x:c r="E64" s="8" t="s">
        <x:v>9</x:v>
      </x:c>
      <x:c r="F64" s="28" t="s">
        <x:v>310</x:v>
      </x:c>
      <x:c r="G64" s="8" t="s">
        <x:v>146</x:v>
      </x:c>
      <x:c r="H64" s="9" t="s">
        <x:v>311</x:v>
      </x:c>
      <x:c r="I64" s="9" t="s">
        <x:v>312</x:v>
      </x:c>
      <x:c r="J64" s="8" t="s">
        <x:v>264</x:v>
      </x:c>
      <x:c r="K64" s="13"/>
    </x:row>
    <x:row r="65" ht="44.099998474121094" customHeight="1">
      <x:c r="A65" s="10">
        <x:v>61</x:v>
      </x:c>
      <x:c r="B65" s="11" t="s">
        <x:v>260</x:v>
      </x:c>
      <x:c r="C65" s="11" t="s">
        <x:v>106</x:v>
      </x:c>
      <x:c r="D65" s="12" t="s">
        <x:v>107</x:v>
      </x:c>
      <x:c r="E65" s="11" t="s">
        <x:v>9</x:v>
      </x:c>
      <x:c r="F65" s="29" t="s">
        <x:v>313</x:v>
      </x:c>
      <x:c r="G65" s="11" t="s">
        <x:v>146</x:v>
      </x:c>
      <x:c r="H65" s="12" t="s">
        <x:v>314</x:v>
      </x:c>
      <x:c r="I65" s="12" t="s">
        <x:v>315</x:v>
      </x:c>
      <x:c r="J65" s="11" t="s">
        <x:v>264</x:v>
      </x:c>
      <x:c r="K65" s="14" t="s">
        <x:v>316</x:v>
      </x:c>
    </x:row>
    <x:row r="66" ht="44.099998474121094" customHeight="1">
      <x:c r="A66" s="7">
        <x:v>62</x:v>
      </x:c>
      <x:c r="B66" s="8" t="s">
        <x:v>260</x:v>
      </x:c>
      <x:c r="C66" s="8" t="s">
        <x:v>108</x:v>
      </x:c>
      <x:c r="D66" s="9" t="s">
        <x:v>109</x:v>
      </x:c>
      <x:c r="E66" s="8" t="s">
        <x:v>9</x:v>
      </x:c>
      <x:c r="F66" s="28" t="s">
        <x:v>317</x:v>
      </x:c>
      <x:c r="G66" s="8" t="s">
        <x:v>146</x:v>
      </x:c>
      <x:c r="H66" s="9" t="s">
        <x:v>318</x:v>
      </x:c>
      <x:c r="I66" s="9" t="s">
        <x:v>319</x:v>
      </x:c>
      <x:c r="J66" s="8" t="s">
        <x:v>264</x:v>
      </x:c>
      <x:c r="K66" s="13"/>
    </x:row>
    <x:row r="67" ht="44.099998474121094" customHeight="1">
      <x:c r="A67" s="10">
        <x:v>63</x:v>
      </x:c>
      <x:c r="B67" s="11" t="s">
        <x:v>260</x:v>
      </x:c>
      <x:c r="C67" s="11" t="s">
        <x:v>110</x:v>
      </x:c>
      <x:c r="D67" s="12" t="s">
        <x:v>111</x:v>
      </x:c>
      <x:c r="E67" s="11" t="s">
        <x:v>86</x:v>
      </x:c>
      <x:c r="F67" s="29" t="s">
        <x:v>320</x:v>
      </x:c>
      <x:c r="G67" s="11" t="s">
        <x:v>146</x:v>
      </x:c>
      <x:c r="H67" s="12" t="s">
        <x:v>321</x:v>
      </x:c>
      <x:c r="I67" s="12" t="s">
        <x:v>322</x:v>
      </x:c>
      <x:c r="J67" s="11" t="s">
        <x:v>264</x:v>
      </x:c>
      <x:c r="K67" s="14" t="s">
        <x:v>323</x:v>
      </x:c>
    </x:row>
    <x:row r="68" ht="44.099998474121094" customHeight="1">
      <x:c r="A68" s="7">
        <x:v>64</x:v>
      </x:c>
      <x:c r="B68" s="8" t="s">
        <x:v>260</x:v>
      </x:c>
      <x:c r="C68" s="8" t="s">
        <x:v>112</x:v>
      </x:c>
      <x:c r="D68" s="9" t="s">
        <x:v>113</x:v>
      </x:c>
      <x:c r="E68" s="8" t="s">
        <x:v>9</x:v>
      </x:c>
      <x:c r="F68" s="28" t="s">
        <x:v>324</x:v>
      </x:c>
      <x:c r="G68" s="8" t="s">
        <x:v>156</x:v>
      </x:c>
      <x:c r="H68" s="9" t="s">
        <x:v>325</x:v>
      </x:c>
      <x:c r="I68" s="9" t="s">
        <x:v>326</x:v>
      </x:c>
      <x:c r="J68" s="8" t="s">
        <x:v>264</x:v>
      </x:c>
      <x:c r="K68" s="13"/>
    </x:row>
    <x:row r="69" ht="44.099998474121094" customHeight="1">
      <x:c r="A69" s="10">
        <x:v>65</x:v>
      </x:c>
      <x:c r="B69" s="11" t="s">
        <x:v>260</x:v>
      </x:c>
      <x:c r="C69" s="11" t="s">
        <x:v>114</x:v>
      </x:c>
      <x:c r="D69" s="12" t="s">
        <x:v>78</x:v>
      </x:c>
      <x:c r="E69" s="11" t="s">
        <x:v>79</x:v>
      </x:c>
      <x:c r="F69" s="29" t="s">
        <x:v>327</x:v>
      </x:c>
      <x:c r="G69" s="11" t="s">
        <x:v>195</x:v>
      </x:c>
      <x:c r="H69" s="12" t="s">
        <x:v>328</x:v>
      </x:c>
      <x:c r="I69" s="12" t="s">
        <x:v>329</x:v>
      </x:c>
      <x:c r="J69" s="11" t="s">
        <x:v>264</x:v>
      </x:c>
      <x:c r="K69" s="14" t="s">
        <x:v>272</x:v>
      </x:c>
    </x:row>
    <x:row r="70" ht="44.099998474121094" customHeight="1">
      <x:c r="A70" s="7">
        <x:v>66</x:v>
      </x:c>
      <x:c r="B70" s="8" t="s">
        <x:v>260</x:v>
      </x:c>
      <x:c r="C70" s="8" t="s">
        <x:v>115</x:v>
      </x:c>
      <x:c r="D70" s="9" t="s">
        <x:v>116</x:v>
      </x:c>
      <x:c r="E70" s="8" t="s">
        <x:v>117</x:v>
      </x:c>
      <x:c r="F70" s="28" t="s">
        <x:v>330</x:v>
      </x:c>
      <x:c r="G70" s="8" t="s">
        <x:v>156</x:v>
      </x:c>
      <x:c r="H70" s="9" t="s">
        <x:v>331</x:v>
      </x:c>
      <x:c r="I70" s="9" t="s">
        <x:v>332</x:v>
      </x:c>
      <x:c r="J70" s="8" t="s">
        <x:v>264</x:v>
      </x:c>
      <x:c r="K70" s="13" t="s">
        <x:v>333</x:v>
      </x:c>
    </x:row>
    <x:row r="71" ht="44.099998474121094" customHeight="1">
      <x:c r="A71" s="10">
        <x:v>67</x:v>
      </x:c>
      <x:c r="B71" s="11" t="s">
        <x:v>260</x:v>
      </x:c>
      <x:c r="C71" s="11" t="s">
        <x:v>118</x:v>
      </x:c>
      <x:c r="D71" s="12" t="s">
        <x:v>14</x:v>
      </x:c>
      <x:c r="E71" s="11" t="s">
        <x:v>9</x:v>
      </x:c>
      <x:c r="F71" s="29" t="s">
        <x:v>334</x:v>
      </x:c>
      <x:c r="G71" s="11" t="s">
        <x:v>146</x:v>
      </x:c>
      <x:c r="H71" s="12" t="s">
        <x:v>335</x:v>
      </x:c>
      <x:c r="I71" s="12" t="s">
        <x:v>336</x:v>
      </x:c>
      <x:c r="J71" s="11" t="s">
        <x:v>264</x:v>
      </x:c>
      <x:c r="K71" s="14"/>
    </x:row>
    <x:row r="72" ht="44.099998474121094" customHeight="1">
      <x:c r="A72" s="7">
        <x:v>68</x:v>
      </x:c>
      <x:c r="B72" s="8" t="s">
        <x:v>260</x:v>
      </x:c>
      <x:c r="C72" s="8" t="s">
        <x:v>119</x:v>
      </x:c>
      <x:c r="D72" s="9" t="s">
        <x:v>120</x:v>
      </x:c>
      <x:c r="E72" s="8" t="s">
        <x:v>9</x:v>
      </x:c>
      <x:c r="F72" s="28" t="s">
        <x:v>337</x:v>
      </x:c>
      <x:c r="G72" s="8" t="s">
        <x:v>146</x:v>
      </x:c>
      <x:c r="H72" s="9" t="s">
        <x:v>338</x:v>
      </x:c>
      <x:c r="I72" s="9" t="s">
        <x:v>339</x:v>
      </x:c>
      <x:c r="J72" s="8" t="s">
        <x:v>264</x:v>
      </x:c>
      <x:c r="K72" s="13"/>
    </x:row>
    <x:row r="73" ht="44.099998474121094" customHeight="1">
      <x:c r="A73" s="10">
        <x:v>69</x:v>
      </x:c>
      <x:c r="B73" s="11" t="s">
        <x:v>260</x:v>
      </x:c>
      <x:c r="C73" s="11" t="s">
        <x:v>121</x:v>
      </x:c>
      <x:c r="D73" s="12" t="s">
        <x:v>122</x:v>
      </x:c>
      <x:c r="E73" s="11" t="s">
        <x:v>9</x:v>
      </x:c>
      <x:c r="F73" s="29" t="s">
        <x:v>340</x:v>
      </x:c>
      <x:c r="G73" s="11" t="s">
        <x:v>156</x:v>
      </x:c>
      <x:c r="H73" s="12" t="s">
        <x:v>341</x:v>
      </x:c>
      <x:c r="I73" s="12" t="s">
        <x:v>342</x:v>
      </x:c>
      <x:c r="J73" s="11" t="s">
        <x:v>264</x:v>
      </x:c>
      <x:c r="K73" s="14"/>
    </x:row>
    <x:row r="74" ht="44.099998474121094" customHeight="1">
      <x:c r="A74" s="7">
        <x:v>70</x:v>
      </x:c>
      <x:c r="B74" s="8" t="s">
        <x:v>260</x:v>
      </x:c>
      <x:c r="C74" s="8" t="s">
        <x:v>123</x:v>
      </x:c>
      <x:c r="D74" s="9" t="s">
        <x:v>78</x:v>
      </x:c>
      <x:c r="E74" s="8" t="s">
        <x:v>79</x:v>
      </x:c>
      <x:c r="F74" s="28" t="s">
        <x:v>343</x:v>
      </x:c>
      <x:c r="G74" s="8" t="s">
        <x:v>195</x:v>
      </x:c>
      <x:c r="H74" s="9" t="s">
        <x:v>344</x:v>
      </x:c>
      <x:c r="I74" s="9" t="s">
        <x:v>345</x:v>
      </x:c>
      <x:c r="J74" s="8" t="s">
        <x:v>264</x:v>
      </x:c>
      <x:c r="K74" s="13" t="s">
        <x:v>346</x:v>
      </x:c>
    </x:row>
    <x:row r="75" ht="44.099998474121094" customHeight="1">
      <x:c r="A75" s="10">
        <x:v>71</x:v>
      </x:c>
      <x:c r="B75" s="11" t="s">
        <x:v>347</x:v>
      </x:c>
      <x:c r="C75" s="11" t="s">
        <x:v>124</x:v>
      </x:c>
      <x:c r="D75" s="12" t="s">
        <x:v>122</x:v>
      </x:c>
      <x:c r="E75" s="11" t="s">
        <x:v>9</x:v>
      </x:c>
      <x:c r="F75" s="29" t="s">
        <x:v>348</x:v>
      </x:c>
      <x:c r="G75" s="11" t="s">
        <x:v>146</x:v>
      </x:c>
      <x:c r="H75" s="12" t="s">
        <x:v>349</x:v>
      </x:c>
      <x:c r="I75" s="12" t="s">
        <x:v>350</x:v>
      </x:c>
      <x:c r="J75" s="11" t="s">
        <x:v>264</x:v>
      </x:c>
      <x:c r="K75" s="14"/>
    </x:row>
    <x:row r="76" ht="44.099998474121094" customHeight="1">
      <x:c r="A76" s="7">
        <x:v>72</x:v>
      </x:c>
      <x:c r="B76" s="8" t="s">
        <x:v>260</x:v>
      </x:c>
      <x:c r="C76" s="8" t="s">
        <x:v>125</x:v>
      </x:c>
      <x:c r="D76" s="9" t="s">
        <x:v>78</x:v>
      </x:c>
      <x:c r="E76" s="8" t="s">
        <x:v>79</x:v>
      </x:c>
      <x:c r="F76" s="28" t="s">
        <x:v>351</x:v>
      </x:c>
      <x:c r="G76" s="8" t="s">
        <x:v>195</x:v>
      </x:c>
      <x:c r="H76" s="9" t="s">
        <x:v>352</x:v>
      </x:c>
      <x:c r="I76" s="9" t="s">
        <x:v>353</x:v>
      </x:c>
      <x:c r="J76" s="8" t="s">
        <x:v>264</x:v>
      </x:c>
      <x:c r="K76" s="13" t="s">
        <x:v>272</x:v>
      </x:c>
    </x:row>
    <x:row r="77" ht="44.099998474121094" customHeight="1">
      <x:c r="A77" s="10">
        <x:v>73</x:v>
      </x:c>
      <x:c r="B77" s="11" t="s">
        <x:v>260</x:v>
      </x:c>
      <x:c r="C77" s="11" t="s">
        <x:v>126</x:v>
      </x:c>
      <x:c r="D77" s="12" t="s">
        <x:v>78</x:v>
      </x:c>
      <x:c r="E77" s="11" t="s">
        <x:v>79</x:v>
      </x:c>
      <x:c r="F77" s="29" t="s">
        <x:v>354</x:v>
      </x:c>
      <x:c r="G77" s="11" t="s">
        <x:v>195</x:v>
      </x:c>
      <x:c r="H77" s="12" t="s">
        <x:v>352</x:v>
      </x:c>
      <x:c r="I77" s="12" t="s">
        <x:v>329</x:v>
      </x:c>
      <x:c r="J77" s="11" t="s">
        <x:v>264</x:v>
      </x:c>
      <x:c r="K77" s="14" t="s">
        <x:v>272</x:v>
      </x:c>
    </x:row>
    <x:row r="78" ht="44.099998474121094" customHeight="1">
      <x:c r="A78" s="7">
        <x:v>74</x:v>
      </x:c>
      <x:c r="B78" s="8" t="s">
        <x:v>260</x:v>
      </x:c>
      <x:c r="C78" s="8" t="s">
        <x:v>127</x:v>
      </x:c>
      <x:c r="D78" s="9" t="s">
        <x:v>128</x:v>
      </x:c>
      <x:c r="E78" s="8" t="s">
        <x:v>9</x:v>
      </x:c>
      <x:c r="F78" s="28" t="s">
        <x:v>355</x:v>
      </x:c>
      <x:c r="G78" s="8" t="s">
        <x:v>146</x:v>
      </x:c>
      <x:c r="H78" s="9" t="s">
        <x:v>356</x:v>
      </x:c>
      <x:c r="I78" s="9" t="s">
        <x:v>357</x:v>
      </x:c>
      <x:c r="J78" s="8" t="s">
        <x:v>264</x:v>
      </x:c>
      <x:c r="K78" s="13"/>
    </x:row>
    <x:row r="79" ht="44.099998474121094" customHeight="1">
      <x:c r="A79" s="10">
        <x:v>75</x:v>
      </x:c>
      <x:c r="B79" s="11" t="s">
        <x:v>347</x:v>
      </x:c>
      <x:c r="C79" s="11" t="s">
        <x:v>129</x:v>
      </x:c>
      <x:c r="D79" s="12" t="s">
        <x:v>130</x:v>
      </x:c>
      <x:c r="E79" s="11" t="s">
        <x:v>9</x:v>
      </x:c>
      <x:c r="F79" s="29" t="s">
        <x:v>358</x:v>
      </x:c>
      <x:c r="G79" s="11" t="s">
        <x:v>146</x:v>
      </x:c>
      <x:c r="H79" s="12" t="s">
        <x:v>359</x:v>
      </x:c>
      <x:c r="I79" s="12" t="s">
        <x:v>360</x:v>
      </x:c>
      <x:c r="J79" s="11" t="s">
        <x:v>264</x:v>
      </x:c>
      <x:c r="K79" s="14"/>
    </x:row>
    <x:row r="80" ht="44.099998474121094" customHeight="1">
      <x:c r="A80" s="17">
        <x:v>76</x:v>
      </x:c>
      <x:c r="B80" s="18" t="s">
        <x:v>347</x:v>
      </x:c>
      <x:c r="C80" s="18" t="s">
        <x:v>131</x:v>
      </x:c>
      <x:c r="D80" s="15" t="s">
        <x:v>132</x:v>
      </x:c>
      <x:c r="E80" s="18" t="s">
        <x:v>9</x:v>
      </x:c>
      <x:c r="F80" s="30" t="s">
        <x:v>361</x:v>
      </x:c>
      <x:c r="G80" s="18" t="s">
        <x:v>146</x:v>
      </x:c>
      <x:c r="H80" s="15" t="s">
        <x:v>362</x:v>
      </x:c>
      <x:c r="I80" s="15" t="s">
        <x:v>363</x:v>
      </x:c>
      <x:c r="J80" s="18" t="s">
        <x:v>264</x:v>
      </x:c>
      <x:c r="K80" s="16"/>
    </x:row>
  </x:sheetData>
  <x:mergeCells>
    <x:mergeCell ref="A1:K1"/>
    <x:mergeCell ref="A2:K2"/>
  </x:mergeCells>
  <x:conditionalFormatting sqref="G5:G37">
    <x:cfRule type="expression" dxfId="14" priority="1">
      <x:formula>G5="최우선"</x:formula>
    </x:cfRule>
    <x:cfRule type="expression" dxfId="13" priority="2">
      <x:formula>G5="우선"</x:formula>
    </x:cfRule>
    <x:cfRule type="expression" dxfId="12" priority="3">
      <x:formula>G5="보완"</x:formula>
    </x:cfRule>
  </x:conditionalFormatting>
  <x:hyperlinks>
    <x:hyperlink xmlns:r="http://schemas.openxmlformats.org/officeDocument/2006/relationships" ref="F6" r:id="R40c71a0d38fd4358"/>
    <x:hyperlink xmlns:r="http://schemas.openxmlformats.org/officeDocument/2006/relationships" ref="F8" r:id="R16472c6cd39143a3"/>
  </x:hyperlinks>
  <x:pageMargins left="0.7" right="0.7" top="0.75" bottom="0.75" header="0.3" footer="0.3"/>
  <x:tableParts count="1">
    <x:tablePart xmlns:r="http://schemas.openxmlformats.org/officeDocument/2006/relationships" r:id="R5ed0717149f24280"/>
  </x:tableParts>
</x:worksheet>
</file>

<file path=xl/worksheets/sheet3.xml><?xml version="1.0" encoding="utf-8"?>
<x:worksheet xmlns:x="http://schemas.openxmlformats.org/spreadsheetml/2006/main">
  <x:sheetPr>
    <x:tabColor rgb="FF0070C0"/>
  </x:sheetPr>
  <x:sheetViews>
    <x:sheetView workbookViewId="0">
      <x:pane ySplit="4" topLeftCell="A5" activePane="bottomLeft" state="frozen"/>
    </x:sheetView>
  </x:sheetViews>
  <x:sheetFormatPr defaultRowHeight="14.25"/>
  <x:cols>
    <x:col min="1" max="1" width="4.875" style="37" customWidth="1"/>
    <x:col min="2" max="2" width="21.625" style="37" customWidth="1"/>
    <x:col min="3" max="3" width="53.125" style="38" customWidth="1"/>
    <x:col min="4" max="4" width="42.875" style="37" customWidth="1"/>
    <x:col min="5" max="5" width="12" style="37" customWidth="1"/>
  </x:cols>
  <x:sheetData>
    <x:row r="1" ht="27.950000762939453" customHeight="1">
      <x:c r="A1" s="31" t="s">
        <x:v>364</x:v>
      </x:c>
      <x:c r="B1" s="31"/>
      <x:c r="C1" s="31"/>
      <x:c r="D1" s="31"/>
      <x:c r="E1" s="31"/>
    </x:row>
    <x:row r="2" ht="32.099998474121094" customHeight="1">
      <x:c r="A2" s="32" t="s">
        <x:v>365</x:v>
      </x:c>
      <x:c r="B2" s="32"/>
      <x:c r="C2" s="32"/>
      <x:c r="D2" s="32"/>
      <x:c r="E2" s="32"/>
    </x:row>
    <x:row r="3" ht="8.100000381469727" customHeight="1"/>
    <x:row r="4" ht="27.950000762939453" customHeight="1">
      <x:c r="A4" s="1" t="s">
        <x:v>366</x:v>
      </x:c>
      <x:c r="B4" s="2" t="s">
        <x:v>367</x:v>
      </x:c>
      <x:c r="C4" s="39" t="s">
        <x:v>368</x:v>
      </x:c>
      <x:c r="D4" s="2" t="s">
        <x:v>369</x:v>
      </x:c>
      <x:c r="E4" s="3" t="s">
        <x:v>6</x:v>
      </x:c>
    </x:row>
    <x:row r="5" ht="42" customHeight="1">
      <x:c r="A5" s="4">
        <x:v>1</x:v>
      </x:c>
      <x:c r="B5" s="5" t="s">
        <x:v>7</x:v>
      </x:c>
      <x:c r="C5" s="40" t="s">
        <x:v>370</x:v>
      </x:c>
      <x:c r="D5" s="5" t="s">
        <x:v>371</x:v>
      </x:c>
      <x:c r="E5" s="19" t="e">
        <x:f>HYPERLINK("https://www.bai.go.kr/bai/result/branch/list/","열기")</x:f>
        <x:v>HYPERLINK is not implemented. linkLocation=https://www.bai.go.kr/bai/result/branch/list/, friendlyName=열기</x:v>
      </x:c>
    </x:row>
    <x:row r="6" ht="42" customHeight="1">
      <x:c r="A6" s="7">
        <x:v>2</x:v>
      </x:c>
      <x:c r="B6" s="8" t="s">
        <x:v>10</x:v>
      </x:c>
      <x:c r="C6" s="41" t="s">
        <x:v>372</x:v>
      </x:c>
      <x:c r="D6" s="8" t="s">
        <x:v>373</x:v>
      </x:c>
      <x:c r="E6" s="20" t="e">
        <x:f>HYPERLINK("https://pap.go.kr/selfAudit/resultPublic/","열기")</x:f>
        <x:v>HYPERLINK is not implemented. linkLocation=https://pap.go.kr/selfAudit/resultPublic/, friendlyName=열기</x:v>
      </x:c>
    </x:row>
    <x:row r="7" ht="42" customHeight="1">
      <x:c r="A7" s="10">
        <x:v>3</x:v>
      </x:c>
      <x:c r="B7" s="11" t="s">
        <x:v>16</x:v>
      </x:c>
      <x:c r="C7" s="42" t="s">
        <x:v>374</x:v>
      </x:c>
      <x:c r="D7" s="11" t="s">
        <x:v>375</x:v>
      </x:c>
      <x:c r="E7" s="21" t="e">
        <x:f>HYPERLINK("https://www.gg.go.kr/audit/bbs/board.do?bsIdx=886&amp;menuId=4272","열기")</x:f>
        <x:v>HYPERLINK is not implemented. linkLocation=https://www.gg.go.kr/audit/bbs/board.do?bsIdx=886&amp;menuId=4272, friendlyName=열기</x:v>
      </x:c>
    </x:row>
    <x:row r="8" ht="42" customHeight="1">
      <x:c r="A8" s="7">
        <x:v>4</x:v>
      </x:c>
      <x:c r="B8" s="8" t="s">
        <x:v>110</x:v>
      </x:c>
      <x:c r="C8" s="41" t="s">
        <x:v>376</x:v>
      </x:c>
      <x:c r="D8" s="8" t="s">
        <x:v>377</x:v>
      </x:c>
      <x:c r="E8" s="20" t="e">
        <x:f>HYPERLINK("https://www.gunpo.go.kr/www/contents.do?key=4191","열기")</x:f>
        <x:v>HYPERLINK is not implemented. linkLocation=https://www.gunpo.go.kr/www/contents.do?key=4191, friendlyName=열기</x:v>
      </x:c>
    </x:row>
    <x:row r="9" ht="42" customHeight="1">
      <x:c r="A9" s="10">
        <x:v>5</x:v>
      </x:c>
      <x:c r="B9" s="11" t="s">
        <x:v>18</x:v>
      </x:c>
      <x:c r="C9" s="42" t="s">
        <x:v>378</x:v>
      </x:c>
      <x:c r="D9" s="11" t="s">
        <x:v>379</x:v>
      </x:c>
      <x:c r="E9" s="21" t="e">
        <x:f>HYPERLINK("https://news.seoul.go.kr/gov/audit_result","열기")</x:f>
        <x:v>HYPERLINK is not implemented. linkLocation=https://news.seoul.go.kr/gov/audit_result, friendlyName=열기</x:v>
      </x:c>
    </x:row>
    <x:row r="10" ht="42" customHeight="1">
      <x:c r="A10" s="7">
        <x:v>6</x:v>
      </x:c>
      <x:c r="B10" s="8" t="s">
        <x:v>31</x:v>
      </x:c>
      <x:c r="C10" s="41" t="s">
        <x:v>380</x:v>
      </x:c>
      <x:c r="D10" s="8" t="s">
        <x:v>381</x:v>
      </x:c>
      <x:c r="E10" s="20" t="e">
        <x:f>HYPERLINK("https://state.gwd.go.kr/audit/legal/auditresult","열기")</x:f>
        <x:v>HYPERLINK is not implemented. linkLocation=https://state.gwd.go.kr/audit/legal/auditresult, friendlyName=열기</x:v>
      </x:c>
    </x:row>
    <x:row r="11" ht="42" customHeight="1">
      <x:c r="A11" s="10">
        <x:v>7</x:v>
      </x:c>
      <x:c r="B11" s="11" t="s">
        <x:v>23</x:v>
      </x:c>
      <x:c r="C11" s="42" t="s">
        <x:v>382</x:v>
      </x:c>
      <x:c r="D11" s="11" t="s">
        <x:v>383</x:v>
      </x:c>
      <x:c r="E11" s="21" t="e">
        <x:f>HYPERLINK("https://www.incheon.go.kr/pub/PUB020201","열기")</x:f>
        <x:v>HYPERLINK is not implemented. linkLocation=https://www.incheon.go.kr/pub/PUB020201, friendlyName=열기</x:v>
      </x:c>
    </x:row>
    <x:row r="12" ht="42" customHeight="1">
      <x:c r="A12" s="7">
        <x:v>8</x:v>
      </x:c>
      <x:c r="B12" s="8" t="s">
        <x:v>22</x:v>
      </x:c>
      <x:c r="C12" s="41" t="s">
        <x:v>384</x:v>
      </x:c>
      <x:c r="D12" s="8" t="s">
        <x:v>385</x:v>
      </x:c>
      <x:c r="E12" s="20" t="e">
        <x:f>HYPERLINK("https://www.daegu.go.kr/index.do?menu_id=00000151","열기")</x:f>
        <x:v>HYPERLINK is not implemented. linkLocation=https://www.daegu.go.kr/index.do?menu_id=00000151, friendlyName=열기</x:v>
      </x:c>
    </x:row>
    <x:row r="13" ht="42" customHeight="1">
      <x:c r="A13" s="10">
        <x:v>9</x:v>
      </x:c>
      <x:c r="B13" s="11" t="s">
        <x:v>33</x:v>
      </x:c>
      <x:c r="C13" s="42" t="s">
        <x:v>386</x:v>
      </x:c>
      <x:c r="D13" s="11" t="s">
        <x:v>387</x:v>
      </x:c>
      <x:c r="E13" s="21" t="e">
        <x:f>HYPERLINK("https://www.chungnam.go.kr/audit/bbs/B0000270/list.do?menuNo=1800010","열기")</x:f>
        <x:v>HYPERLINK is not implemented. linkLocation=https://www.chungnam.go.kr/audit/bbs/B0000270/list.do?menuNo=1800010, friendlyName=열기</x:v>
      </x:c>
    </x:row>
    <x:row r="14" ht="42" customHeight="1">
      <x:c r="A14" s="7">
        <x:v>10</x:v>
      </x:c>
      <x:c r="B14" s="8" t="s">
        <x:v>39</x:v>
      </x:c>
      <x:c r="C14" s="41" t="s">
        <x:v>388</x:v>
      </x:c>
      <x:c r="D14" s="8" t="s">
        <x:v>389</x:v>
      </x:c>
      <x:c r="E14" s="20" t="e">
        <x:f>HYPERLINK("https://audit.jeju.go.kr/news/activity/result.htm","열기")</x:f>
        <x:v>HYPERLINK is not implemented. linkLocation=https://audit.jeju.go.kr/news/activity/result.htm, friendlyName=열기</x:v>
      </x:c>
    </x:row>
    <x:row r="15" ht="42" customHeight="1">
      <x:c r="A15" s="10">
        <x:v>11</x:v>
      </x:c>
      <x:c r="B15" s="11" t="s">
        <x:v>20</x:v>
      </x:c>
      <x:c r="C15" s="42" t="s">
        <x:v>390</x:v>
      </x:c>
      <x:c r="D15" s="11" t="s">
        <x:v>391</x:v>
      </x:c>
      <x:c r="E15" s="21" t="e">
        <x:f>HYPERLINK("https://www.busan.go.kr/gbinspec02","열기")</x:f>
        <x:v>HYPERLINK is not implemented. linkLocation=https://www.busan.go.kr/gbinspec02, friendlyName=열기</x:v>
      </x:c>
    </x:row>
    <x:row r="16" ht="42" customHeight="1">
      <x:c r="A16" s="7">
        <x:v>12</x:v>
      </x:c>
      <x:c r="B16" s="8" t="s">
        <x:v>392</x:v>
      </x:c>
      <x:c r="C16" s="41" t="s">
        <x:v>393</x:v>
      </x:c>
      <x:c r="D16" s="8" t="s">
        <x:v>394</x:v>
      </x:c>
      <x:c r="E16" s="20" t="e">
        <x:f>HYPERLINK("https://www.gwangju.go.kr/public/boardList.do?boardId=BD_0000000081&amp;pageId=public145","열기")</x:f>
        <x:v>HYPERLINK is not implemented. linkLocation=https://www.gwangju.go.kr/public/boardList.do?boardId=BD_0000000081&amp;pageId=public145, friendlyName=열기</x:v>
      </x:c>
    </x:row>
    <x:row r="17" ht="42" customHeight="1">
      <x:c r="A17" s="10">
        <x:v>13</x:v>
      </x:c>
      <x:c r="B17" s="11" t="s">
        <x:v>75</x:v>
      </x:c>
      <x:c r="C17" s="42" t="s">
        <x:v>395</x:v>
      </x:c>
      <x:c r="D17" s="11" t="s">
        <x:v>267</x:v>
      </x:c>
      <x:c r="E17" s="21" t="e">
        <x:f>HYPERLINK("https://www.yongin.go.kr/user/bbs/BD_selectBbsList.do?q_bbsCode=1093","열기")</x:f>
        <x:v>HYPERLINK is not implemented. linkLocation=https://www.yongin.go.kr/user/bbs/BD_selectBbsList.do?q_bbsCode=1093, friendlyName=열기</x:v>
      </x:c>
    </x:row>
    <x:row r="18" ht="42" customHeight="1">
      <x:c r="A18" s="7">
        <x:v>14</x:v>
      </x:c>
      <x:c r="B18" s="8" t="s">
        <x:v>98</x:v>
      </x:c>
      <x:c r="C18" s="41" t="s">
        <x:v>396</x:v>
      </x:c>
      <x:c r="D18" s="8" t="s">
        <x:v>302</x:v>
      </x:c>
      <x:c r="E18" s="20" t="e">
        <x:f>HYPERLINK("https://www.paju.go.kr/user/board/BD_board.list.do?bbsCd=9027","열기")</x:f>
        <x:v>HYPERLINK is not implemented. linkLocation=https://www.paju.go.kr/user/board/BD_board.list.do?bbsCd=9027, friendlyName=열기</x:v>
      </x:c>
    </x:row>
    <x:row r="19" ht="42" customHeight="1">
      <x:c r="A19" s="10">
        <x:v>15</x:v>
      </x:c>
      <x:c r="B19" s="11" t="s">
        <x:v>106</x:v>
      </x:c>
      <x:c r="C19" s="42" t="s">
        <x:v>397</x:v>
      </x:c>
      <x:c r="D19" s="11" t="s">
        <x:v>315</x:v>
      </x:c>
      <x:c r="E19" s="21" t="e">
        <x:f>HYPERLINK("https://www.hanam.go.kr/www/selectBbsNttList.do?bbsNo=70&amp;key=3509","열기")</x:f>
        <x:v>HYPERLINK is not implemented. linkLocation=https://www.hanam.go.kr/www/selectBbsNttList.do?bbsNo=70&amp;key=3509, friendlyName=열기</x:v>
      </x:c>
    </x:row>
    <x:row r="20" ht="42" customHeight="1">
      <x:c r="A20" s="7">
        <x:v>16</x:v>
      </x:c>
      <x:c r="B20" s="8" t="s">
        <x:v>80</x:v>
      </x:c>
      <x:c r="C20" s="41" t="s">
        <x:v>398</x:v>
      </x:c>
      <x:c r="D20" s="8" t="s">
        <x:v>275</x:v>
      </x:c>
      <x:c r="E20" s="20" t="e">
        <x:f>HYPERLINK("https://www.hscity.go.kr/www/user/bbs/BD_selectBbsList.do?q_bbsCode=1115","열기")</x:f>
        <x:v>HYPERLINK is not implemented. linkLocation=https://www.hscity.go.kr/www/user/bbs/BD_selectBbsList.do?q_bbsCode=1115, friendlyName=열기</x:v>
      </x:c>
    </x:row>
    <x:row r="21" ht="42" customHeight="1">
      <x:c r="A21" s="10">
        <x:v>17</x:v>
      </x:c>
      <x:c r="B21" s="11" t="s">
        <x:v>82</x:v>
      </x:c>
      <x:c r="C21" s="42" t="s">
        <x:v>399</x:v>
      </x:c>
      <x:c r="D21" s="11" t="s">
        <x:v>278</x:v>
      </x:c>
      <x:c r="E21" s="21" t="e">
        <x:f>HYPERLINK("https://www.seongnam.go.kr/city/1001145/30084/bbsList.do","열기")</x:f>
        <x:v>HYPERLINK is not implemented. linkLocation=https://www.seongnam.go.kr/city/1001145/30084/bbsList.do, friendlyName=열기</x:v>
      </x:c>
    </x:row>
    <x:row r="22" ht="42" customHeight="1">
      <x:c r="A22" s="7">
        <x:v>18</x:v>
      </x:c>
      <x:c r="B22" s="8" t="s">
        <x:v>108</x:v>
      </x:c>
      <x:c r="C22" s="41" t="s">
        <x:v>400</x:v>
      </x:c>
      <x:c r="D22" s="8" t="s">
        <x:v>319</x:v>
      </x:c>
      <x:c r="E22" s="20" t="e">
        <x:f>HYPERLINK("https://www.gm.go.kr/pt/user/bbs/BD_selectBbsList.do?q_bbsCode=2055&amp;q_clCode=2","열기")</x:f>
        <x:v>HYPERLINK is not implemented. linkLocation=https://www.gm.go.kr/pt/user/bbs/BD_selectBbsList.do?q_bbsCode=2055&amp;q_clCode=2, friendlyName=열기</x:v>
      </x:c>
    </x:row>
    <x:row r="23" ht="42" customHeight="1">
      <x:c r="A23" s="10">
        <x:v>19</x:v>
      </x:c>
      <x:c r="B23" s="11" t="s">
        <x:v>57</x:v>
      </x:c>
      <x:c r="C23" s="42" t="s">
        <x:v>401</x:v>
      </x:c>
      <x:c r="D23" s="11" t="s">
        <x:v>237</x:v>
      </x:c>
      <x:c r="E23" s="21" t="e">
        <x:f>HYPERLINK("https://www.sdm.go.kr/clean/inspect/result.do","열기")</x:f>
        <x:v>HYPERLINK is not implemented. linkLocation=https://www.sdm.go.kr/clean/inspect/result.do, friendlyName=열기</x:v>
      </x:c>
    </x:row>
    <x:row r="24" ht="42" customHeight="1">
      <x:c r="A24" s="7">
        <x:v>20</x:v>
      </x:c>
      <x:c r="B24" s="8" t="s">
        <x:v>52</x:v>
      </x:c>
      <x:c r="C24" s="41" t="s">
        <x:v>402</x:v>
      </x:c>
      <x:c r="D24" s="8" t="s">
        <x:v>237</x:v>
      </x:c>
      <x:c r="E24" s="20" t="e">
        <x:f>HYPERLINK("https://www.sb.go.kr/www/selectBbsNttList.do?bbsNo=27&amp;key=5922","열기")</x:f>
        <x:v>HYPERLINK is not implemented. linkLocation=https://www.sb.go.kr/www/selectBbsNttList.do?bbsNo=27&amp;key=5922, friendlyName=열기</x:v>
      </x:c>
    </x:row>
    <x:row r="25" ht="42" customHeight="1">
      <x:c r="A25" s="10">
        <x:v>21</x:v>
      </x:c>
      <x:c r="B25" s="11" t="s">
        <x:v>49</x:v>
      </x:c>
      <x:c r="C25" s="42" t="s">
        <x:v>403</x:v>
      </x:c>
      <x:c r="D25" s="11" t="s">
        <x:v>237</x:v>
      </x:c>
      <x:c r="E25" s="21" t="e">
        <x:f>HYPERLINK("https://www.ddm.go.kr/www/selectBbsNttList.do?bbsNo=158&amp;integrDeptCode=&amp;key=563","열기")</x:f>
        <x:v>HYPERLINK is not implemented. linkLocation=https://www.ddm.go.kr/www/selectBbsNttList.do?bbsNo=158&amp;integrDeptCode=&amp;key=563, friendlyName=열기</x:v>
      </x:c>
    </x:row>
    <x:row r="26" ht="42" customHeight="1">
      <x:c r="A26" s="7">
        <x:v>22</x:v>
      </x:c>
      <x:c r="B26" s="8" t="s">
        <x:v>61</x:v>
      </x:c>
      <x:c r="C26" s="41" t="s">
        <x:v>404</x:v>
      </x:c>
      <x:c r="D26" s="8" t="s">
        <x:v>237</x:v>
      </x:c>
      <x:c r="E26" s="20" t="e">
        <x:f>HYPERLINK("https://www.guro.go.kr/upright/selectBbsNttList.do?bbsNo=593&amp;key=1532","열기")</x:f>
        <x:v>HYPERLINK is not implemented. linkLocation=https://www.guro.go.kr/upright/selectBbsNttList.do?bbsNo=593&amp;key=1532, friendlyName=열기</x:v>
      </x:c>
    </x:row>
    <x:row r="27" ht="42" customHeight="1">
      <x:c r="A27" s="10">
        <x:v>23</x:v>
      </x:c>
      <x:c r="B27" s="11" t="s">
        <x:v>65</x:v>
      </x:c>
      <x:c r="C27" s="42" t="s">
        <x:v>405</x:v>
      </x:c>
      <x:c r="D27" s="11" t="s">
        <x:v>237</x:v>
      </x:c>
      <x:c r="E27" s="21" t="e">
        <x:f>HYPERLINK("https://www.dongjak.go.kr/portal/bbs/B0000712/list.do?menuNo=200208","열기")</x:f>
        <x:v>HYPERLINK is not implemented. linkLocation=https://www.dongjak.go.kr/portal/bbs/B0000712/list.do?menuNo=200208, friendlyName=열기</x:v>
      </x:c>
    </x:row>
    <x:row r="28" ht="42" customHeight="1">
      <x:c r="A28" s="17">
        <x:v>24</x:v>
      </x:c>
      <x:c r="B28" s="18" t="s">
        <x:v>64</x:v>
      </x:c>
      <x:c r="C28" s="43" t="s">
        <x:v>406</x:v>
      </x:c>
      <x:c r="D28" s="18" t="s">
        <x:v>237</x:v>
      </x:c>
      <x:c r="E28" s="22" t="e">
        <x:f>HYPERLINK("https://www.ydp.go.kr/www/selectBbsNttList.do?bbsNo=33&amp;key=2821","열기")</x:f>
        <x:v>HYPERLINK is not implemented. linkLocation=https://www.ydp.go.kr/www/selectBbsNttList.do?bbsNo=33&amp;key=2821, friendlyName=열기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9b03133c6f04ae8"/>
  </x:tableParts>
</x:worksheet>
</file>

<file path=xl/worksheets/sheet4.xml><?xml version="1.0" encoding="utf-8"?>
<x:worksheet xmlns:x="http://schemas.openxmlformats.org/spreadsheetml/2006/main">
  <x:sheetPr>
    <x:tabColor rgb="FFFF0000"/>
  </x:sheetPr>
  <x:sheetViews>
    <x:sheetView workbookViewId="0">
      <x:pane ySplit="4" topLeftCell="A5" activePane="bottomLeft" state="frozen"/>
    </x:sheetView>
  </x:sheetViews>
  <x:sheetFormatPr defaultRowHeight="14.25"/>
  <x:cols>
    <x:col min="1" max="1" width="19.25" style="37" customWidth="1"/>
    <x:col min="2" max="2" width="69" customWidth="1"/>
    <x:col min="3" max="3" width="45.5" customWidth="1"/>
    <x:col min="4" max="4" width="59" customWidth="1"/>
  </x:cols>
  <x:sheetData>
    <x:row r="1" ht="27.950000762939453" customHeight="1">
      <x:c r="A1" s="31" t="s">
        <x:v>407</x:v>
      </x:c>
      <x:c r="B1" s="31"/>
      <x:c r="C1" s="31"/>
      <x:c r="D1" s="31"/>
    </x:row>
    <x:row r="2" ht="32.099998474121094" customHeight="1">
      <x:c r="A2" s="32" t="s">
        <x:v>408</x:v>
      </x:c>
      <x:c r="B2" s="32"/>
      <x:c r="C2" s="32"/>
      <x:c r="D2" s="32"/>
    </x:row>
    <x:row r="3" ht="8.100000381469727" customHeight="1"/>
    <x:row r="4" ht="27.950000762939453" customHeight="1">
      <x:c r="A4" s="1" t="s">
        <x:v>409</x:v>
      </x:c>
      <x:c r="B4" s="2" t="s">
        <x:v>141</x:v>
      </x:c>
      <x:c r="C4" s="2" t="s">
        <x:v>410</x:v>
      </x:c>
      <x:c r="D4" s="3" t="s">
        <x:v>411</x:v>
      </x:c>
    </x:row>
    <x:row r="5" ht="42.95000076293945" customHeight="1">
      <x:c r="A5" s="33" t="s">
        <x:v>412</x:v>
      </x:c>
      <x:c r="B5" s="6" t="s">
        <x:v>413</x:v>
      </x:c>
      <x:c r="C5" s="6" t="s">
        <x:v>414</x:v>
      </x:c>
      <x:c r="D5" s="23" t="s">
        <x:v>415</x:v>
      </x:c>
    </x:row>
    <x:row r="6" ht="42.95000076293945" customHeight="1">
      <x:c r="A6" s="34" t="s">
        <x:v>416</x:v>
      </x:c>
      <x:c r="B6" s="9" t="s">
        <x:v>417</x:v>
      </x:c>
      <x:c r="C6" s="9" t="s">
        <x:v>418</x:v>
      </x:c>
      <x:c r="D6" s="13" t="s">
        <x:v>415</x:v>
      </x:c>
    </x:row>
    <x:row r="7" ht="42.95000076293945" customHeight="1">
      <x:c r="A7" s="35" t="s">
        <x:v>419</x:v>
      </x:c>
      <x:c r="B7" s="12" t="s">
        <x:v>420</x:v>
      </x:c>
      <x:c r="C7" s="12" t="s">
        <x:v>421</x:v>
      </x:c>
      <x:c r="D7" s="14" t="s">
        <x:v>415</x:v>
      </x:c>
    </x:row>
    <x:row r="8" ht="42.95000076293945" customHeight="1">
      <x:c r="A8" s="34" t="s">
        <x:v>422</x:v>
      </x:c>
      <x:c r="B8" s="9" t="s">
        <x:v>423</x:v>
      </x:c>
      <x:c r="C8" s="9" t="s">
        <x:v>424</x:v>
      </x:c>
      <x:c r="D8" s="13" t="s">
        <x:v>415</x:v>
      </x:c>
    </x:row>
    <x:row r="9" ht="42.95000076293945" customHeight="1">
      <x:c r="A9" s="35" t="s">
        <x:v>425</x:v>
      </x:c>
      <x:c r="B9" s="12" t="s">
        <x:v>426</x:v>
      </x:c>
      <x:c r="C9" s="12" t="s">
        <x:v>427</x:v>
      </x:c>
      <x:c r="D9" s="14" t="s">
        <x:v>415</x:v>
      </x:c>
    </x:row>
    <x:row r="10" ht="42.95000076293945" customHeight="1">
      <x:c r="A10" s="34" t="s">
        <x:v>428</x:v>
      </x:c>
      <x:c r="B10" s="9" t="s">
        <x:v>429</x:v>
      </x:c>
      <x:c r="C10" s="9" t="s">
        <x:v>430</x:v>
      </x:c>
      <x:c r="D10" s="13" t="s">
        <x:v>415</x:v>
      </x:c>
    </x:row>
    <x:row r="11" ht="42.95000076293945" customHeight="1">
      <x:c r="A11" s="35" t="s">
        <x:v>431</x:v>
      </x:c>
      <x:c r="B11" s="12" t="s">
        <x:v>432</x:v>
      </x:c>
      <x:c r="C11" s="12" t="s">
        <x:v>433</x:v>
      </x:c>
      <x:c r="D11" s="14" t="s">
        <x:v>415</x:v>
      </x:c>
    </x:row>
    <x:row r="12" ht="42.95000076293945" customHeight="1">
      <x:c r="A12" s="34" t="s">
        <x:v>434</x:v>
      </x:c>
      <x:c r="B12" s="9" t="s">
        <x:v>435</x:v>
      </x:c>
      <x:c r="C12" s="9" t="s">
        <x:v>436</x:v>
      </x:c>
      <x:c r="D12" s="13" t="s">
        <x:v>415</x:v>
      </x:c>
    </x:row>
    <x:row r="13" ht="42.95000076293945" customHeight="1">
      <x:c r="A13" s="35" t="s">
        <x:v>437</x:v>
      </x:c>
      <x:c r="B13" s="12" t="s">
        <x:v>438</x:v>
      </x:c>
      <x:c r="C13" s="12" t="s">
        <x:v>439</x:v>
      </x:c>
      <x:c r="D13" s="14" t="s">
        <x:v>415</x:v>
      </x:c>
    </x:row>
    <x:row r="14" ht="42.95000076293945" customHeight="1">
      <x:c r="A14" s="34" t="s">
        <x:v>440</x:v>
      </x:c>
      <x:c r="B14" s="9" t="s">
        <x:v>441</x:v>
      </x:c>
      <x:c r="C14" s="9" t="s">
        <x:v>442</x:v>
      </x:c>
      <x:c r="D14" s="13" t="s">
        <x:v>415</x:v>
      </x:c>
    </x:row>
    <x:row r="15" ht="42.95000076293945" customHeight="1">
      <x:c r="A15" s="35" t="s">
        <x:v>443</x:v>
      </x:c>
      <x:c r="B15" s="12" t="s">
        <x:v>444</x:v>
      </x:c>
      <x:c r="C15" s="12" t="s">
        <x:v>445</x:v>
      </x:c>
      <x:c r="D15" s="14" t="s">
        <x:v>415</x:v>
      </x:c>
    </x:row>
    <x:row r="16" ht="42.95000076293945" customHeight="1">
      <x:c r="A16" s="34" t="s">
        <x:v>446</x:v>
      </x:c>
      <x:c r="B16" s="9" t="s">
        <x:v>447</x:v>
      </x:c>
      <x:c r="C16" s="9" t="s">
        <x:v>448</x:v>
      </x:c>
      <x:c r="D16" s="13" t="s">
        <x:v>415</x:v>
      </x:c>
    </x:row>
    <x:row r="17" ht="42.95000076293945" customHeight="1">
      <x:c r="A17" s="35" t="s">
        <x:v>449</x:v>
      </x:c>
      <x:c r="B17" s="12" t="s">
        <x:v>450</x:v>
      </x:c>
      <x:c r="C17" s="12" t="s">
        <x:v>451</x:v>
      </x:c>
      <x:c r="D17" s="14" t="s">
        <x:v>415</x:v>
      </x:c>
    </x:row>
    <x:row r="18" ht="42.95000076293945" customHeight="1">
      <x:c r="A18" s="34" t="s">
        <x:v>452</x:v>
      </x:c>
      <x:c r="B18" s="9" t="s">
        <x:v>453</x:v>
      </x:c>
      <x:c r="C18" s="9" t="s">
        <x:v>454</x:v>
      </x:c>
      <x:c r="D18" s="13" t="s">
        <x:v>455</x:v>
      </x:c>
    </x:row>
    <x:row r="19" ht="42.95000076293945" customHeight="1">
      <x:c r="A19" s="35" t="s">
        <x:v>456</x:v>
      </x:c>
      <x:c r="B19" s="12" t="s">
        <x:v>457</x:v>
      </x:c>
      <x:c r="C19" s="12" t="s">
        <x:v>458</x:v>
      </x:c>
      <x:c r="D19" s="14" t="s">
        <x:v>459</x:v>
      </x:c>
    </x:row>
    <x:row r="20" ht="42.95000076293945" customHeight="1">
      <x:c r="A20" s="34" t="s">
        <x:v>460</x:v>
      </x:c>
      <x:c r="B20" s="9" t="s">
        <x:v>461</x:v>
      </x:c>
      <x:c r="C20" s="9" t="s">
        <x:v>462</x:v>
      </x:c>
      <x:c r="D20" s="13" t="s">
        <x:v>463</x:v>
      </x:c>
    </x:row>
    <x:row r="21" ht="42.95000076293945" customHeight="1">
      <x:c r="A21" s="35" t="s">
        <x:v>464</x:v>
      </x:c>
      <x:c r="B21" s="12" t="s">
        <x:v>465</x:v>
      </x:c>
      <x:c r="C21" s="12" t="s">
        <x:v>466</x:v>
      </x:c>
      <x:c r="D21" s="14" t="s">
        <x:v>467</x:v>
      </x:c>
    </x:row>
    <x:row r="22" ht="42.95000076293945" customHeight="1">
      <x:c r="A22" s="36" t="s">
        <x:v>468</x:v>
      </x:c>
      <x:c r="B22" s="15" t="s">
        <x:v>469</x:v>
      </x:c>
      <x:c r="C22" s="15" t="s">
        <x:v>470</x:v>
      </x:c>
      <x:c r="D22" s="16" t="s">
        <x:v>471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62915f76cb3477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22" hidden="0" customWidth="1"/>
    <x:col min="7" max="7" width="34" hidden="0" customWidth="1"/>
    <x:col min="8" max="8" width="14" hidden="0" customWidth="1"/>
    <x:col min="9" max="9" width="52" hidden="0" customWidth="1"/>
    <x:col min="10" max="10" width="58" hidden="0" customWidth="1"/>
    <x:col min="11" max="11" width="28" hidden="0" customWidth="1"/>
  </x:cols>
  <x:sheetData>
    <x:row r="1" ht="30" customHeight="1">
      <x:c r="A1" s="47" t="str">
        <x:v>군포시 감사사례 통합검색 시범수집 검증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 ht="28" customHeight="1">
      <x:c r="A2" s="51" t="str">
        <x:v>검증기준: 목록 → 상세게시물 → 첨부파일 주소 → 실제 다운로드 → PDF 열기·텍스트 추출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</x:row>
    <x:row r="3">
      <x:c r="A3" t="str">
        <x:v>검증일</x:v>
      </x:c>
      <x:c r="B3" t="str">
        <x:v>2026-10-13</x:v>
      </x:c>
      <x:c r="C3"/>
      <x:c r="D3"/>
      <x:c r="E3"/>
      <x:c r="F3"/>
      <x:c r="G3"/>
      <x:c r="H3"/>
      <x:c r="I3"/>
      <x:c r="J3"/>
      <x:c r="K3"/>
    </x:row>
    <x:row r="4" ht="32" customHeight="1">
      <x:c r="A4" s="56" t="str">
        <x:v>기관</x:v>
      </x:c>
      <x:c r="B4" s="56" t="str">
        <x:v>목록</x:v>
      </x:c>
      <x:c r="C4" s="56" t="str">
        <x:v>상세</x:v>
      </x:c>
      <x:c r="D4" s="56" t="str">
        <x:v>첨부주소</x:v>
      </x:c>
      <x:c r="E4" s="56" t="str">
        <x:v>실제 다운로드</x:v>
      </x:c>
      <x:c r="F4" s="56" t="str">
        <x:v>PDF 검증</x:v>
      </x:c>
      <x:c r="G4" s="56" t="str">
        <x:v>검증용 게시물</x:v>
      </x:c>
      <x:c r="H4" s="56" t="str">
        <x:v>게시일</x:v>
      </x:c>
      <x:c r="I4" s="56" t="str">
        <x:v>상세 URL</x:v>
      </x:c>
      <x:c r="J4" s="56" t="str">
        <x:v>첨부 URL</x:v>
      </x:c>
      <x:c r="K4" s="56" t="str">
        <x:v>최종 판정</x:v>
      </x:c>
    </x:row>
    <x:row r="5" ht="72" customHeight="1">
      <x:c r="A5" s="59" t="str">
        <x:v>감사원</x:v>
      </x:c>
      <x:c r="B5" s="59" t="str">
        <x:v>성공</x:v>
      </x:c>
      <x:c r="C5" s="59" t="str">
        <x:v>성공</x:v>
      </x:c>
      <x:c r="D5" s="59" t="str">
        <x:v>성공</x:v>
      </x:c>
      <x:c r="E5" s="59" t="str">
        <x:v>성공</x:v>
      </x:c>
      <x:c r="F5" s="59" t="str">
        <x:v>168쪽·텍스트 추출 성공</x:v>
      </x:c>
      <x:c r="G5" s="59" t="str">
        <x:v>고양시 정기감사</x:v>
      </x:c>
      <x:c r="H5" s="59" t="str">
        <x:v>2025-12-18</x:v>
      </x:c>
      <x:c r="I5" s="59" t="str">
        <x:v>https://www.bai.go.kr/bai/result/branch/detail?srno=3236</x:v>
      </x:c>
      <x:c r="J5" s="59" t="str">
        <x:v>페이지 내 동적 다운로드(파일명: 공개문_전문.pdf)</x:v>
      </x:c>
      <x:c r="K5" s="63" t="str">
        <x:v>성공</x:v>
      </x:c>
    </x:row>
    <x:row r="6" ht="72" customHeight="1">
      <x:c r="A6" s="59" t="str">
        <x:v>경기도</x:v>
      </x:c>
      <x:c r="B6" s="59" t="str">
        <x:v>성공</x:v>
      </x:c>
      <x:c r="C6" s="59" t="str">
        <x:v>성공</x:v>
      </x:c>
      <x:c r="D6" s="59" t="str">
        <x:v>성공(2개)</x:v>
      </x:c>
      <x:c r="E6" s="59" t="str">
        <x:v>실패(502)</x:v>
      </x:c>
      <x:c r="F6" s="59" t="str">
        <x:v>미검증</x:v>
      </x:c>
      <x:c r="G6" s="59" t="str">
        <x:v>2026년 안성시 종합감사 결과 공개</x:v>
      </x:c>
      <x:c r="H6" s="59" t="str">
        <x:v>2026-10-08</x:v>
      </x:c>
      <x:c r="I6" s="59" t="str">
        <x:v>https://www.gg.go.kr/audit/bbs/boardView.do?bIdx=110906146&amp;bsIdx=886&amp;menuId=4272</x:v>
      </x:c>
      <x:c r="J6" s="59" t="str">
        <x:v>https://www.gg.go.kr/audit/cmmn/download.do?idx=1045984</x:v>
      </x:c>
      <x:c r="K6" s="64" t="str">
        <x:v>부분 성공·다른 네트워크 재시험</x:v>
      </x:c>
    </x:row>
    <x:row r="7" ht="72" customHeight="1">
      <x:c r="A7" s="59" t="str">
        <x:v>군포시</x:v>
      </x:c>
      <x:c r="B7" s="59" t="str">
        <x:v>경유페이지 확인</x:v>
      </x:c>
      <x:c r="C7" s="59" t="str">
        <x:v>실패</x:v>
      </x:c>
      <x:c r="D7" s="59" t="str">
        <x:v>실패</x:v>
      </x:c>
      <x:c r="E7" s="59" t="str">
        <x:v>실패</x:v>
      </x:c>
      <x:c r="F7" s="59" t="str">
        <x:v>미검증</x:v>
      </x:c>
      <x:c r="G7" s="59" t="str">
        <x:v>확인하지 못함</x:v>
      </x:c>
      <x:c r="H7" s="59" t="str"/>
      <x:c r="I7" s="59" t="str">
        <x:v>https://www.gunpo.go.kr/www/contents.do?key=4191</x:v>
      </x:c>
      <x:c r="J7" s="59" t="str"/>
      <x:c r="K7" s="66" t="str">
        <x:v>전용 목록 URL 확인 필요</x:v>
      </x:c>
    </x:row>
    <x:row r="8" ht="72" customHeight="1">
      <x:c r="A8" s="59" t="str">
        <x:v>서울특별시</x:v>
      </x:c>
      <x:c r="B8" s="59" t="str">
        <x:v>성공</x:v>
      </x:c>
      <x:c r="C8" s="59" t="str">
        <x:v>성공</x:v>
      </x:c>
      <x:c r="D8" s="59" t="str">
        <x:v>성공</x:v>
      </x:c>
      <x:c r="E8" s="59" t="str">
        <x:v>성공</x:v>
      </x:c>
      <x:c r="F8" s="59" t="str">
        <x:v>76쪽·텍스트 추출 성공</x:v>
      </x:c>
      <x:c r="G8" s="59" t="str">
        <x:v>서울물재생시설공단 기관운영 감사 결과 공개문</x:v>
      </x:c>
      <x:c r="H8" s="59" t="str">
        <x:v>2026-09-15</x:v>
      </x:c>
      <x:c r="I8" s="59" t="str">
        <x:v>https://news.seoul.go.kr/gov/archives/580883</x:v>
      </x:c>
      <x:c r="J8" s="59" t="str">
        <x:v>https://news.seoul.go.kr/gov/files/2026/09/6aa8d539483f06.36566037.pdf</x:v>
      </x:c>
      <x:c r="K8" s="63" t="str">
        <x:v>성공</x:v>
      </x:c>
    </x:row>
    <x:row r="9" ht="72" customHeight="1">
      <x:c r="A9" s="59" t="str">
        <x:v>서대문구</x:v>
      </x:c>
      <x:c r="B9" s="59" t="str">
        <x:v>성공</x:v>
      </x:c>
      <x:c r="C9" s="59" t="str">
        <x:v>성공</x:v>
      </x:c>
      <x:c r="D9" s="59" t="str">
        <x:v>성공</x:v>
      </x:c>
      <x:c r="E9" s="59" t="str">
        <x:v>성공</x:v>
      </x:c>
      <x:c r="F9" s="59" t="str">
        <x:v>29쪽·텍스트 추출 성공</x:v>
      </x:c>
      <x:c r="G9" s="59" t="str">
        <x:v>2026년 치수과 종합감사 결과</x:v>
      </x:c>
      <x:c r="H9" s="59" t="str">
        <x:v>2026-06-22</x:v>
      </x:c>
      <x:c r="I9" s="59" t="str">
        <x:v>https://www.sdm.go.kr/clean/inspect/result.do (게시물번호 312541)</x:v>
      </x:c>
      <x:c r="J9" s="59" t="str">
        <x:v>https://www.sdm.go.kr/downloadFile.do?path=/board/509&amp;oriFileNm=2026년_치수과_종합감사_감사보고서(공개용).pdf&amp;saveFileNm=763262C0-35BC-0E89-B39E-752C8F4C664E.pdf</x:v>
      </x:c>
      <x:c r="K9" s="63" t="str">
        <x:v>성공</x:v>
      </x:c>
    </x:row>
    <x:row r="10" ht="72" customHeight="1">
      <x:c r="A10" s="61" t="str">
        <x:v>종합</x:v>
      </x:c>
      <x:c r="B10" s="61" t="str">
        <x:v>5곳 중 4곳 목록 확인</x:v>
      </x:c>
      <x:c r="C10" s="61" t="str">
        <x:v>3곳 성공·1곳 부분·1곳 실패</x:v>
      </x:c>
      <x:c r="D10" s="61" t="str">
        <x:v>4곳 확인</x:v>
      </x:c>
      <x:c r="E10" s="61" t="str">
        <x:v>3곳 성공</x:v>
      </x:c>
      <x:c r="F10" s="61" t="str">
        <x:v>3개 PDF 정상</x:v>
      </x:c>
      <x:c r="G10" s="61" t="str"/>
      <x:c r="H10" s="61" t="str"/>
      <x:c r="I10" s="61" t="str"/>
      <x:c r="J10" s="61" t="str"/>
      <x:c r="K10" s="61" t="str">
        <x:v>앱 개발 전 경기도·군포시 보완 필요</x:v>
      </x:c>
    </x:row>
  </x:sheetData>
  <x:mergeCells>
    <x:mergeCell ref="A1:K1"/>
    <x:mergeCell ref="A2:K2"/>
    <x:mergeCell ref="B3:K3"/>
  </x:mergeCells>
  <x:pageMargins left="0.7" right="0.7" top="0.75" bottom="0.75" header="0.3" footer="0.3"/>
  <x:tableParts count="1">
    <x:tablePart xmlns:r="http://schemas.openxmlformats.org/officeDocument/2006/relationships" r:id="R1b8a0561531c4ac1"/>
  </x:tableParts>
</x:worksheet>
</file>